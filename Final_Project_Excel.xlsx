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2.xml" ContentType="application/vnd.openxmlformats-officedocument.spreadsheetml.table+xml"/>
  <Override PartName="/xl/tables/table3.xml" ContentType="application/vnd.openxmlformats-officedocument.spreadsheetml.tab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4.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excel_project\"/>
    </mc:Choice>
  </mc:AlternateContent>
  <xr:revisionPtr revIDLastSave="0" documentId="8_{32AFC426-3225-4920-866F-88CE635BFF27}" xr6:coauthVersionLast="47" xr6:coauthVersionMax="47" xr10:uidLastSave="{00000000-0000-0000-0000-000000000000}"/>
  <bookViews>
    <workbookView xWindow="-110" yWindow="-110" windowWidth="19420" windowHeight="10300" firstSheet="5" activeTab="7" xr2:uid="{D595EDAD-7E95-471F-BF62-6E5AFB3DCD33}"/>
  </bookViews>
  <sheets>
    <sheet name="Raw Data" sheetId="1" r:id="rId1"/>
    <sheet name="Analysis" sheetId="2" r:id="rId2"/>
    <sheet name="CUSTOMER ANALYSIS" sheetId="10" r:id="rId3"/>
    <sheet name="Product Frequency AnalysisProdu" sheetId="12" r:id="rId4"/>
    <sheet name="Visualizations" sheetId="3" r:id="rId5"/>
    <sheet name="Regression" sheetId="9" r:id="rId6"/>
    <sheet name="List Comparison &amp; Abbreviations" sheetId="13" r:id="rId7"/>
    <sheet name="Scenario Summary " sheetId="7" r:id="rId8"/>
    <sheet name="Dashboard" sheetId="4" r:id="rId9"/>
    <sheet name="Final Report" sheetId="5" r:id="rId10"/>
  </sheets>
  <definedNames>
    <definedName name="NativeTimeline_Date">#N/A</definedName>
    <definedName name="Slicer_Category">#N/A</definedName>
    <definedName name="Slicer_Customer_Segment">#N/A</definedName>
    <definedName name="Slicer_Payment_Method">#N/A</definedName>
    <definedName name="Slicer_Region">#N/A</definedName>
  </definedNames>
  <calcPr calcId="191029"/>
  <pivotCaches>
    <pivotCache cacheId="0" r:id="rId11"/>
  </pivotCaches>
  <extLst>
    <ext xmlns:x14="http://schemas.microsoft.com/office/spreadsheetml/2009/9/main" uri="{BBE1A952-AA13-448e-AADC-164F8A28A991}">
      <x14:slicerCaches>
        <x14:slicerCache r:id="rId12"/>
        <x14:slicerCache r:id="rId13"/>
        <x14:slicerCache r:id="rId14"/>
        <x14:slicerCache r:id="rId15"/>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6"/>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8" i="12" l="1"/>
  <c r="A49" i="5" a="1"/>
  <c r="A49" i="5" s="1"/>
  <c r="B49" i="5" s="1"/>
  <c r="B43" i="5"/>
  <c r="B42" i="5"/>
  <c r="B41" i="5"/>
  <c r="B40" i="5"/>
  <c r="B34" i="5"/>
  <c r="B33" i="5"/>
  <c r="B32" i="5"/>
  <c r="B31" i="5"/>
  <c r="O2" i="1"/>
  <c r="B25" i="5"/>
  <c r="B24" i="5"/>
  <c r="B23" i="5"/>
  <c r="B22" i="5"/>
  <c r="B21" i="5"/>
  <c r="B20" i="5"/>
  <c r="B7" i="5"/>
  <c r="C10" i="4"/>
  <c r="C12" i="4"/>
  <c r="C14" i="4"/>
  <c r="C16" i="4"/>
  <c r="C18" i="4"/>
  <c r="C8" i="4"/>
  <c r="P3"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158" i="1"/>
  <c r="P159" i="1"/>
  <c r="P160" i="1"/>
  <c r="P161" i="1"/>
  <c r="P162" i="1"/>
  <c r="P163" i="1"/>
  <c r="P164" i="1"/>
  <c r="P165" i="1"/>
  <c r="P166" i="1"/>
  <c r="P167" i="1"/>
  <c r="P168" i="1"/>
  <c r="P169" i="1"/>
  <c r="P170" i="1"/>
  <c r="P171" i="1"/>
  <c r="P172" i="1"/>
  <c r="P173" i="1"/>
  <c r="P174" i="1"/>
  <c r="P175" i="1"/>
  <c r="P176" i="1"/>
  <c r="P177" i="1"/>
  <c r="P178" i="1"/>
  <c r="P179" i="1"/>
  <c r="P180" i="1"/>
  <c r="P181" i="1"/>
  <c r="P182" i="1"/>
  <c r="P183" i="1"/>
  <c r="P184" i="1"/>
  <c r="P185" i="1"/>
  <c r="P186" i="1"/>
  <c r="P187" i="1"/>
  <c r="P188" i="1"/>
  <c r="P189" i="1"/>
  <c r="P190" i="1"/>
  <c r="P191" i="1"/>
  <c r="P192" i="1"/>
  <c r="P193" i="1"/>
  <c r="P194" i="1"/>
  <c r="P195" i="1"/>
  <c r="P196" i="1"/>
  <c r="P197" i="1"/>
  <c r="P198" i="1"/>
  <c r="P199" i="1"/>
  <c r="P200" i="1"/>
  <c r="P201" i="1"/>
  <c r="P202" i="1"/>
  <c r="P203" i="1"/>
  <c r="P204" i="1"/>
  <c r="P205" i="1"/>
  <c r="P206" i="1"/>
  <c r="P207" i="1"/>
  <c r="P208" i="1"/>
  <c r="P209" i="1"/>
  <c r="P210" i="1"/>
  <c r="P211" i="1"/>
  <c r="P212" i="1"/>
  <c r="P213" i="1"/>
  <c r="P214" i="1"/>
  <c r="P215" i="1"/>
  <c r="P216" i="1"/>
  <c r="P217" i="1"/>
  <c r="P218" i="1"/>
  <c r="P219" i="1"/>
  <c r="P220" i="1"/>
  <c r="P221" i="1"/>
  <c r="P222" i="1"/>
  <c r="P223" i="1"/>
  <c r="P224" i="1"/>
  <c r="P225" i="1"/>
  <c r="P226" i="1"/>
  <c r="P227" i="1"/>
  <c r="P228" i="1"/>
  <c r="P229" i="1"/>
  <c r="P230" i="1"/>
  <c r="P231" i="1"/>
  <c r="P232" i="1"/>
  <c r="P233" i="1"/>
  <c r="P234" i="1"/>
  <c r="P235" i="1"/>
  <c r="P236" i="1"/>
  <c r="P237" i="1"/>
  <c r="P238" i="1"/>
  <c r="P239" i="1"/>
  <c r="P240" i="1"/>
  <c r="P241" i="1"/>
  <c r="P242" i="1"/>
  <c r="P243" i="1"/>
  <c r="P244" i="1"/>
  <c r="P245" i="1"/>
  <c r="P246" i="1"/>
  <c r="P247" i="1"/>
  <c r="P248" i="1"/>
  <c r="P249" i="1"/>
  <c r="P250" i="1"/>
  <c r="P251" i="1"/>
  <c r="B12" i="13"/>
  <c r="B13" i="13"/>
  <c r="B14" i="13"/>
  <c r="B15" i="13"/>
  <c r="B11" i="13"/>
  <c r="D3" i="13"/>
  <c r="D4" i="13"/>
  <c r="D5" i="13"/>
  <c r="D6" i="13"/>
  <c r="D7" i="13"/>
  <c r="D2" i="13"/>
  <c r="C3" i="13"/>
  <c r="C2" i="13"/>
  <c r="C4" i="13"/>
  <c r="C5" i="13"/>
  <c r="C6" i="13"/>
  <c r="C7" i="13"/>
  <c r="A2" i="12" a="1"/>
  <c r="A2" i="12" s="1"/>
  <c r="B2" i="12" s="1"/>
  <c r="C2" i="12" a="1"/>
  <c r="C2" i="12" s="1"/>
  <c r="D2" i="12" s="1"/>
  <c r="H3" i="10"/>
  <c r="H4" i="10"/>
  <c r="H5" i="10"/>
  <c r="H6" i="10"/>
  <c r="H7" i="10"/>
  <c r="H8" i="10"/>
  <c r="H9" i="10"/>
  <c r="H10" i="10"/>
  <c r="H11" i="10"/>
  <c r="H12" i="10"/>
  <c r="H13" i="10"/>
  <c r="H14" i="10"/>
  <c r="H15" i="10"/>
  <c r="H16" i="10"/>
  <c r="H17" i="10"/>
  <c r="H18" i="10"/>
  <c r="H19" i="10"/>
  <c r="H20" i="10"/>
  <c r="H21" i="10"/>
  <c r="H22" i="10"/>
  <c r="H23" i="10"/>
  <c r="H24" i="10"/>
  <c r="H25" i="10"/>
  <c r="H26" i="10"/>
  <c r="H27" i="10"/>
  <c r="H28" i="10"/>
  <c r="H29" i="10"/>
  <c r="H30" i="10"/>
  <c r="H31" i="10"/>
  <c r="H32" i="10"/>
  <c r="H33" i="10"/>
  <c r="H34" i="10"/>
  <c r="H35" i="10"/>
  <c r="H36" i="10"/>
  <c r="H37" i="10"/>
  <c r="H38" i="10"/>
  <c r="H39" i="10"/>
  <c r="H40" i="10"/>
  <c r="H41" i="10"/>
  <c r="H42" i="10"/>
  <c r="H43" i="10"/>
  <c r="H44" i="10"/>
  <c r="H45" i="10"/>
  <c r="H46" i="10"/>
  <c r="H47" i="10"/>
  <c r="H48" i="10"/>
  <c r="H49" i="10"/>
  <c r="H50" i="10"/>
  <c r="H51" i="10"/>
  <c r="H2" i="10"/>
  <c r="G3" i="10"/>
  <c r="G4" i="10"/>
  <c r="G5" i="10"/>
  <c r="G6" i="10"/>
  <c r="G7" i="10"/>
  <c r="G8" i="10"/>
  <c r="G9" i="10"/>
  <c r="G10" i="10"/>
  <c r="G11" i="10"/>
  <c r="G12" i="10"/>
  <c r="G13" i="10"/>
  <c r="G14" i="10"/>
  <c r="G15" i="10"/>
  <c r="G16" i="10"/>
  <c r="G17" i="10"/>
  <c r="G18" i="10"/>
  <c r="G19" i="10"/>
  <c r="G20" i="10"/>
  <c r="G21" i="10"/>
  <c r="G22" i="10"/>
  <c r="G23" i="10"/>
  <c r="G24" i="10"/>
  <c r="G25" i="10"/>
  <c r="G26" i="10"/>
  <c r="G27" i="10"/>
  <c r="G28" i="10"/>
  <c r="G29" i="10"/>
  <c r="G30" i="10"/>
  <c r="G31" i="10"/>
  <c r="G32" i="10"/>
  <c r="G33" i="10"/>
  <c r="G34" i="10"/>
  <c r="G35" i="10"/>
  <c r="G36" i="10"/>
  <c r="G37" i="10"/>
  <c r="G38" i="10"/>
  <c r="G39" i="10"/>
  <c r="G40" i="10"/>
  <c r="G41" i="10"/>
  <c r="G42" i="10"/>
  <c r="G43" i="10"/>
  <c r="G44" i="10"/>
  <c r="G45" i="10"/>
  <c r="G46" i="10"/>
  <c r="G47" i="10"/>
  <c r="G48" i="10"/>
  <c r="G49" i="10"/>
  <c r="G50" i="10"/>
  <c r="G51" i="10"/>
  <c r="G2" i="10"/>
  <c r="F3" i="10"/>
  <c r="F4" i="10"/>
  <c r="F5" i="10"/>
  <c r="F6" i="10"/>
  <c r="F7" i="10"/>
  <c r="F8" i="10"/>
  <c r="F9" i="10"/>
  <c r="F10" i="10"/>
  <c r="F11" i="10"/>
  <c r="F12" i="10"/>
  <c r="F13" i="10"/>
  <c r="F14" i="10"/>
  <c r="F15" i="10"/>
  <c r="F16" i="10"/>
  <c r="F17" i="10"/>
  <c r="F18" i="10"/>
  <c r="F19" i="10"/>
  <c r="F20" i="10"/>
  <c r="F21" i="10"/>
  <c r="F22" i="10"/>
  <c r="F23" i="10"/>
  <c r="F24" i="10"/>
  <c r="F25" i="10"/>
  <c r="F26" i="10"/>
  <c r="F27" i="10"/>
  <c r="F28" i="10"/>
  <c r="F29" i="10"/>
  <c r="F30" i="10"/>
  <c r="F31" i="10"/>
  <c r="F32" i="10"/>
  <c r="F33" i="10"/>
  <c r="F34" i="10"/>
  <c r="F35" i="10"/>
  <c r="F36" i="10"/>
  <c r="F37" i="10"/>
  <c r="F38" i="10"/>
  <c r="F39" i="10"/>
  <c r="F40" i="10"/>
  <c r="F41" i="10"/>
  <c r="F42" i="10"/>
  <c r="F43" i="10"/>
  <c r="F44" i="10"/>
  <c r="F45" i="10"/>
  <c r="F46" i="10"/>
  <c r="F47" i="10"/>
  <c r="F48" i="10"/>
  <c r="F49" i="10"/>
  <c r="F50" i="10"/>
  <c r="F51" i="10"/>
  <c r="F2" i="10"/>
  <c r="E3" i="10"/>
  <c r="E4" i="10"/>
  <c r="E5" i="10"/>
  <c r="E6" i="10"/>
  <c r="E7" i="10"/>
  <c r="E8" i="10"/>
  <c r="E9" i="10"/>
  <c r="E10" i="10"/>
  <c r="E11" i="10"/>
  <c r="E12" i="10"/>
  <c r="E13" i="10"/>
  <c r="E14" i="10"/>
  <c r="E15" i="10"/>
  <c r="E16" i="10"/>
  <c r="E17" i="10"/>
  <c r="E18" i="10"/>
  <c r="E19" i="10"/>
  <c r="E20" i="10"/>
  <c r="E21" i="10"/>
  <c r="E22" i="10"/>
  <c r="E23" i="10"/>
  <c r="E24" i="10"/>
  <c r="E25" i="10"/>
  <c r="E26" i="10"/>
  <c r="E27" i="10"/>
  <c r="E28" i="10"/>
  <c r="E29" i="10"/>
  <c r="E30" i="10"/>
  <c r="E31" i="10"/>
  <c r="E32" i="10"/>
  <c r="E33" i="10"/>
  <c r="E34" i="10"/>
  <c r="E35" i="10"/>
  <c r="E36" i="10"/>
  <c r="E37" i="10"/>
  <c r="E38" i="10"/>
  <c r="E39" i="10"/>
  <c r="E40" i="10"/>
  <c r="E41" i="10"/>
  <c r="E42" i="10"/>
  <c r="E43" i="10"/>
  <c r="E44" i="10"/>
  <c r="E45" i="10"/>
  <c r="E46" i="10"/>
  <c r="E47" i="10"/>
  <c r="E48" i="10"/>
  <c r="E49" i="10"/>
  <c r="E50" i="10"/>
  <c r="E51" i="10"/>
  <c r="E2" i="10"/>
  <c r="D3" i="10"/>
  <c r="D4" i="10"/>
  <c r="D5" i="10"/>
  <c r="D6" i="10"/>
  <c r="D7" i="10"/>
  <c r="D8" i="10"/>
  <c r="D9" i="10"/>
  <c r="D10" i="10"/>
  <c r="D11" i="10"/>
  <c r="D12" i="10"/>
  <c r="D13" i="10"/>
  <c r="D14" i="10"/>
  <c r="D15" i="10"/>
  <c r="D16" i="10"/>
  <c r="D17" i="10"/>
  <c r="D18" i="10"/>
  <c r="D19" i="10"/>
  <c r="D20" i="10"/>
  <c r="D21" i="10"/>
  <c r="D22" i="10"/>
  <c r="D23" i="10"/>
  <c r="D24" i="10"/>
  <c r="D25" i="10"/>
  <c r="D26" i="10"/>
  <c r="D27" i="10"/>
  <c r="D28" i="10"/>
  <c r="D29" i="10"/>
  <c r="D30" i="10"/>
  <c r="D31" i="10"/>
  <c r="D32" i="10"/>
  <c r="D33" i="10"/>
  <c r="D34" i="10"/>
  <c r="D35" i="10"/>
  <c r="D36" i="10"/>
  <c r="D37" i="10"/>
  <c r="D38" i="10"/>
  <c r="D39" i="10"/>
  <c r="D40" i="10"/>
  <c r="D41" i="10"/>
  <c r="D42" i="10"/>
  <c r="D43" i="10"/>
  <c r="D44" i="10"/>
  <c r="D45" i="10"/>
  <c r="D46" i="10"/>
  <c r="D47" i="10"/>
  <c r="D48" i="10"/>
  <c r="D49" i="10"/>
  <c r="D50" i="10"/>
  <c r="D51" i="10"/>
  <c r="D2" i="10"/>
  <c r="C3" i="10"/>
  <c r="C4" i="10"/>
  <c r="C5" i="10"/>
  <c r="C6" i="10"/>
  <c r="C7" i="10"/>
  <c r="C8" i="10"/>
  <c r="C9" i="10"/>
  <c r="C10" i="10"/>
  <c r="C11" i="10"/>
  <c r="C12" i="10"/>
  <c r="C13" i="10"/>
  <c r="C14" i="10"/>
  <c r="C15" i="10"/>
  <c r="C16" i="10"/>
  <c r="C17" i="10"/>
  <c r="C18" i="10"/>
  <c r="C19" i="10"/>
  <c r="C20" i="10"/>
  <c r="C21" i="10"/>
  <c r="C22" i="10"/>
  <c r="C23" i="10"/>
  <c r="C24" i="10"/>
  <c r="C25" i="10"/>
  <c r="C26" i="10"/>
  <c r="C27" i="10"/>
  <c r="C28" i="10"/>
  <c r="C29" i="10"/>
  <c r="C30" i="10"/>
  <c r="C31" i="10"/>
  <c r="C32" i="10"/>
  <c r="C33" i="10"/>
  <c r="C34" i="10"/>
  <c r="C35" i="10"/>
  <c r="C36" i="10"/>
  <c r="C37" i="10"/>
  <c r="C38" i="10"/>
  <c r="C39" i="10"/>
  <c r="C40" i="10"/>
  <c r="C41" i="10"/>
  <c r="C42" i="10"/>
  <c r="C43" i="10"/>
  <c r="C44" i="10"/>
  <c r="C45" i="10"/>
  <c r="C46" i="10"/>
  <c r="C47" i="10"/>
  <c r="C48" i="10"/>
  <c r="C49" i="10"/>
  <c r="C50" i="10"/>
  <c r="C51" i="10"/>
  <c r="C2" i="10"/>
  <c r="B3" i="10"/>
  <c r="B4" i="10"/>
  <c r="B5" i="10"/>
  <c r="B6" i="10"/>
  <c r="B7" i="10"/>
  <c r="B8" i="10"/>
  <c r="B9" i="10"/>
  <c r="B10" i="10"/>
  <c r="B11" i="10"/>
  <c r="B12" i="10"/>
  <c r="B13" i="10"/>
  <c r="B14" i="10"/>
  <c r="B15" i="10"/>
  <c r="B16" i="10"/>
  <c r="B17" i="10"/>
  <c r="B18" i="10"/>
  <c r="B19" i="10"/>
  <c r="B20" i="10"/>
  <c r="B21" i="10"/>
  <c r="B22" i="10"/>
  <c r="B23" i="10"/>
  <c r="B24" i="10"/>
  <c r="B25" i="10"/>
  <c r="B26" i="10"/>
  <c r="B27" i="10"/>
  <c r="B28" i="10"/>
  <c r="B29" i="10"/>
  <c r="B30" i="10"/>
  <c r="B31" i="10"/>
  <c r="B32" i="10"/>
  <c r="B33" i="10"/>
  <c r="B34" i="10"/>
  <c r="B35" i="10"/>
  <c r="B36" i="10"/>
  <c r="B37" i="10"/>
  <c r="B38" i="10"/>
  <c r="B39" i="10"/>
  <c r="B40" i="10"/>
  <c r="B41" i="10"/>
  <c r="B42" i="10"/>
  <c r="B43" i="10"/>
  <c r="B44" i="10"/>
  <c r="B45" i="10"/>
  <c r="B46" i="10"/>
  <c r="B47" i="10"/>
  <c r="B48" i="10"/>
  <c r="B49" i="10"/>
  <c r="B50" i="10"/>
  <c r="B51" i="10"/>
  <c r="B2" i="10"/>
  <c r="A2" i="10" a="1"/>
  <c r="A2" i="10" s="1"/>
  <c r="C49" i="5" l="1"/>
  <c r="B52" i="5"/>
  <c r="B50" i="5"/>
  <c r="C53" i="5"/>
  <c r="B53" i="5"/>
  <c r="C52" i="5"/>
  <c r="C51" i="5"/>
  <c r="B51" i="5"/>
  <c r="C50" i="5"/>
  <c r="E5" i="12"/>
  <c r="B18" i="12"/>
  <c r="E4" i="12"/>
  <c r="B17" i="12"/>
  <c r="E3" i="12"/>
  <c r="B32" i="12"/>
  <c r="D8" i="12"/>
  <c r="F2" i="12"/>
  <c r="B47" i="12"/>
  <c r="B31" i="12"/>
  <c r="B15" i="12"/>
  <c r="D7" i="12"/>
  <c r="F11" i="12"/>
  <c r="B46" i="12"/>
  <c r="B30" i="12"/>
  <c r="B14" i="12"/>
  <c r="D6" i="12"/>
  <c r="F10" i="12"/>
  <c r="B45" i="12"/>
  <c r="B29" i="12"/>
  <c r="B13" i="12"/>
  <c r="D5" i="12"/>
  <c r="F9" i="12"/>
  <c r="B44" i="12"/>
  <c r="B28" i="12"/>
  <c r="B12" i="12"/>
  <c r="D4" i="12"/>
  <c r="F8" i="12"/>
  <c r="B43" i="12"/>
  <c r="B27" i="12"/>
  <c r="B11" i="12"/>
  <c r="B34" i="12"/>
  <c r="B49" i="12"/>
  <c r="B48" i="12"/>
  <c r="D3" i="12"/>
  <c r="B26" i="12"/>
  <c r="E2" i="12"/>
  <c r="B25" i="12"/>
  <c r="E11" i="12"/>
  <c r="B40" i="12"/>
  <c r="B8" i="12"/>
  <c r="B23" i="12"/>
  <c r="E9" i="12"/>
  <c r="F3" i="12"/>
  <c r="B38" i="12"/>
  <c r="B22" i="12"/>
  <c r="B6" i="12"/>
  <c r="B37" i="12"/>
  <c r="B21" i="12"/>
  <c r="B5" i="12"/>
  <c r="E7" i="12"/>
  <c r="B36" i="12"/>
  <c r="B20" i="12"/>
  <c r="B4" i="12"/>
  <c r="D11" i="12"/>
  <c r="B50" i="12"/>
  <c r="D10" i="12"/>
  <c r="B33" i="12"/>
  <c r="D9" i="12"/>
  <c r="B16" i="12"/>
  <c r="F7" i="12"/>
  <c r="B42" i="12"/>
  <c r="B10" i="12"/>
  <c r="F6" i="12"/>
  <c r="B41" i="12"/>
  <c r="B9" i="12"/>
  <c r="F5" i="12"/>
  <c r="B24" i="12"/>
  <c r="E10" i="12"/>
  <c r="F4" i="12"/>
  <c r="B39" i="12"/>
  <c r="B7" i="12"/>
  <c r="E8" i="12"/>
  <c r="E6" i="12"/>
  <c r="B51" i="12"/>
  <c r="B35" i="12"/>
  <c r="B19" i="12"/>
  <c r="B3" i="12"/>
  <c r="C264" i="2" l="1"/>
  <c r="D264" i="2"/>
  <c r="B264" i="2"/>
  <c r="P2" i="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B9" i="2"/>
  <c r="E9" i="2" s="1"/>
  <c r="B10" i="2"/>
  <c r="E10" i="2" s="1"/>
  <c r="B11" i="2"/>
  <c r="E11" i="2" s="1"/>
  <c r="B12" i="2"/>
  <c r="E12" i="2" s="1"/>
  <c r="B13" i="2"/>
  <c r="E13" i="2" s="1"/>
  <c r="B14" i="2"/>
  <c r="E14" i="2" s="1"/>
  <c r="B15" i="2"/>
  <c r="B16" i="2"/>
  <c r="B17" i="2"/>
  <c r="E17" i="2" s="1"/>
  <c r="B18" i="2"/>
  <c r="B19" i="2"/>
  <c r="E19" i="2" s="1"/>
  <c r="B20" i="2"/>
  <c r="E20" i="2" s="1"/>
  <c r="B21" i="2"/>
  <c r="B22" i="2"/>
  <c r="B23" i="2"/>
  <c r="B24" i="2"/>
  <c r="B25" i="2"/>
  <c r="E25" i="2" s="1"/>
  <c r="B26" i="2"/>
  <c r="E26" i="2" s="1"/>
  <c r="B27" i="2"/>
  <c r="E27" i="2" s="1"/>
  <c r="B28" i="2"/>
  <c r="E28" i="2" s="1"/>
  <c r="B29" i="2"/>
  <c r="B30" i="2"/>
  <c r="E30" i="2" s="1"/>
  <c r="B31" i="2"/>
  <c r="B32" i="2"/>
  <c r="B33" i="2"/>
  <c r="E33" i="2" s="1"/>
  <c r="B34" i="2"/>
  <c r="B35" i="2"/>
  <c r="E35" i="2" s="1"/>
  <c r="B36" i="2"/>
  <c r="E36" i="2" s="1"/>
  <c r="B37" i="2"/>
  <c r="B38" i="2"/>
  <c r="B39" i="2"/>
  <c r="B40" i="2"/>
  <c r="B41" i="2"/>
  <c r="E41" i="2" s="1"/>
  <c r="B42" i="2"/>
  <c r="E42" i="2" s="1"/>
  <c r="B43" i="2"/>
  <c r="E43" i="2" s="1"/>
  <c r="B44" i="2"/>
  <c r="E44" i="2" s="1"/>
  <c r="B45" i="2"/>
  <c r="B46" i="2"/>
  <c r="E46" i="2" s="1"/>
  <c r="B47" i="2"/>
  <c r="B48" i="2"/>
  <c r="B49" i="2"/>
  <c r="E49" i="2" s="1"/>
  <c r="B50" i="2"/>
  <c r="B51" i="2"/>
  <c r="E51" i="2" s="1"/>
  <c r="B52" i="2"/>
  <c r="E52" i="2" s="1"/>
  <c r="B53" i="2"/>
  <c r="B54" i="2"/>
  <c r="B55" i="2"/>
  <c r="B56" i="2"/>
  <c r="B57" i="2"/>
  <c r="E57" i="2" s="1"/>
  <c r="B58" i="2"/>
  <c r="E58" i="2" s="1"/>
  <c r="B59" i="2"/>
  <c r="E59" i="2" s="1"/>
  <c r="B60" i="2"/>
  <c r="E60" i="2" s="1"/>
  <c r="B61" i="2"/>
  <c r="B62" i="2"/>
  <c r="E62" i="2" s="1"/>
  <c r="B63" i="2"/>
  <c r="B64" i="2"/>
  <c r="B65" i="2"/>
  <c r="E65" i="2" s="1"/>
  <c r="B66" i="2"/>
  <c r="B67" i="2"/>
  <c r="E67" i="2" s="1"/>
  <c r="B68" i="2"/>
  <c r="E68" i="2" s="1"/>
  <c r="B69" i="2"/>
  <c r="B70" i="2"/>
  <c r="B71" i="2"/>
  <c r="B72" i="2"/>
  <c r="B73" i="2"/>
  <c r="E73" i="2" s="1"/>
  <c r="B74" i="2"/>
  <c r="E74" i="2" s="1"/>
  <c r="B75" i="2"/>
  <c r="E75" i="2" s="1"/>
  <c r="B76" i="2"/>
  <c r="E76" i="2" s="1"/>
  <c r="B77" i="2"/>
  <c r="B78" i="2"/>
  <c r="E78" i="2" s="1"/>
  <c r="B79" i="2"/>
  <c r="B80" i="2"/>
  <c r="B81" i="2"/>
  <c r="E81" i="2" s="1"/>
  <c r="B82" i="2"/>
  <c r="B83" i="2"/>
  <c r="E83" i="2" s="1"/>
  <c r="B84" i="2"/>
  <c r="E84" i="2" s="1"/>
  <c r="B85" i="2"/>
  <c r="B86" i="2"/>
  <c r="B87" i="2"/>
  <c r="B88" i="2"/>
  <c r="B89" i="2"/>
  <c r="E89" i="2" s="1"/>
  <c r="B90" i="2"/>
  <c r="E90" i="2" s="1"/>
  <c r="B91" i="2"/>
  <c r="E91" i="2" s="1"/>
  <c r="B92" i="2"/>
  <c r="E92" i="2" s="1"/>
  <c r="B93" i="2"/>
  <c r="B94" i="2"/>
  <c r="E94" i="2" s="1"/>
  <c r="B95" i="2"/>
  <c r="B96" i="2"/>
  <c r="B97" i="2"/>
  <c r="E97" i="2" s="1"/>
  <c r="B98" i="2"/>
  <c r="B99" i="2"/>
  <c r="E99" i="2" s="1"/>
  <c r="B100" i="2"/>
  <c r="E100" i="2" s="1"/>
  <c r="B101" i="2"/>
  <c r="B102" i="2"/>
  <c r="B103" i="2"/>
  <c r="B104" i="2"/>
  <c r="E104" i="2" s="1"/>
  <c r="B105" i="2"/>
  <c r="E105" i="2" s="1"/>
  <c r="B106" i="2"/>
  <c r="E106" i="2" s="1"/>
  <c r="B107" i="2"/>
  <c r="E107" i="2" s="1"/>
  <c r="B108" i="2"/>
  <c r="E108" i="2" s="1"/>
  <c r="B109" i="2"/>
  <c r="B110" i="2"/>
  <c r="E110" i="2" s="1"/>
  <c r="B111" i="2"/>
  <c r="B112" i="2"/>
  <c r="B113" i="2"/>
  <c r="E113" i="2" s="1"/>
  <c r="B114" i="2"/>
  <c r="B115" i="2"/>
  <c r="E115" i="2" s="1"/>
  <c r="B116" i="2"/>
  <c r="E116" i="2" s="1"/>
  <c r="B117" i="2"/>
  <c r="B118" i="2"/>
  <c r="B119" i="2"/>
  <c r="B120" i="2"/>
  <c r="E120" i="2" s="1"/>
  <c r="B121" i="2"/>
  <c r="E121" i="2" s="1"/>
  <c r="B122" i="2"/>
  <c r="E122" i="2" s="1"/>
  <c r="B123" i="2"/>
  <c r="E123" i="2" s="1"/>
  <c r="B124" i="2"/>
  <c r="E124" i="2" s="1"/>
  <c r="B125" i="2"/>
  <c r="B126" i="2"/>
  <c r="E126" i="2" s="1"/>
  <c r="B127" i="2"/>
  <c r="B128" i="2"/>
  <c r="B129" i="2"/>
  <c r="E129" i="2" s="1"/>
  <c r="B130" i="2"/>
  <c r="B131" i="2"/>
  <c r="E131" i="2" s="1"/>
  <c r="B132" i="2"/>
  <c r="E132" i="2" s="1"/>
  <c r="B133" i="2"/>
  <c r="B134" i="2"/>
  <c r="B135" i="2"/>
  <c r="B136" i="2"/>
  <c r="B137" i="2"/>
  <c r="E137" i="2" s="1"/>
  <c r="B138" i="2"/>
  <c r="E138" i="2" s="1"/>
  <c r="B139" i="2"/>
  <c r="E139" i="2" s="1"/>
  <c r="B140" i="2"/>
  <c r="E140" i="2" s="1"/>
  <c r="B141" i="2"/>
  <c r="B142" i="2"/>
  <c r="E142" i="2" s="1"/>
  <c r="B143" i="2"/>
  <c r="B144" i="2"/>
  <c r="B145" i="2"/>
  <c r="E145" i="2" s="1"/>
  <c r="B146" i="2"/>
  <c r="B147" i="2"/>
  <c r="E147" i="2" s="1"/>
  <c r="B148" i="2"/>
  <c r="E148" i="2" s="1"/>
  <c r="B149" i="2"/>
  <c r="B150" i="2"/>
  <c r="B151" i="2"/>
  <c r="B152" i="2"/>
  <c r="E152" i="2" s="1"/>
  <c r="B153" i="2"/>
  <c r="E153" i="2" s="1"/>
  <c r="B154" i="2"/>
  <c r="E154" i="2" s="1"/>
  <c r="B155" i="2"/>
  <c r="E155" i="2" s="1"/>
  <c r="B156" i="2"/>
  <c r="E156" i="2" s="1"/>
  <c r="B157" i="2"/>
  <c r="B158" i="2"/>
  <c r="E158" i="2" s="1"/>
  <c r="B159" i="2"/>
  <c r="B160" i="2"/>
  <c r="B161" i="2"/>
  <c r="E161" i="2" s="1"/>
  <c r="B162" i="2"/>
  <c r="B163" i="2"/>
  <c r="E163" i="2" s="1"/>
  <c r="B164" i="2"/>
  <c r="E164" i="2" s="1"/>
  <c r="B165" i="2"/>
  <c r="B166" i="2"/>
  <c r="B167" i="2"/>
  <c r="B168" i="2"/>
  <c r="B169" i="2"/>
  <c r="E169" i="2" s="1"/>
  <c r="B170" i="2"/>
  <c r="E170" i="2" s="1"/>
  <c r="B171" i="2"/>
  <c r="E171" i="2" s="1"/>
  <c r="B172" i="2"/>
  <c r="E172" i="2" s="1"/>
  <c r="B173" i="2"/>
  <c r="B174" i="2"/>
  <c r="E174" i="2" s="1"/>
  <c r="B175" i="2"/>
  <c r="B176" i="2"/>
  <c r="B177" i="2"/>
  <c r="E177" i="2" s="1"/>
  <c r="B178" i="2"/>
  <c r="B179" i="2"/>
  <c r="E179" i="2" s="1"/>
  <c r="B180" i="2"/>
  <c r="E180" i="2" s="1"/>
  <c r="B181" i="2"/>
  <c r="B182" i="2"/>
  <c r="B183" i="2"/>
  <c r="B184" i="2"/>
  <c r="B185" i="2"/>
  <c r="E185" i="2" s="1"/>
  <c r="B186" i="2"/>
  <c r="E186" i="2" s="1"/>
  <c r="B187" i="2"/>
  <c r="E187" i="2" s="1"/>
  <c r="B188" i="2"/>
  <c r="E188" i="2" s="1"/>
  <c r="B189" i="2"/>
  <c r="B190" i="2"/>
  <c r="E190" i="2" s="1"/>
  <c r="B191" i="2"/>
  <c r="B192" i="2"/>
  <c r="B193" i="2"/>
  <c r="E193" i="2" s="1"/>
  <c r="B194" i="2"/>
  <c r="B195" i="2"/>
  <c r="E195" i="2" s="1"/>
  <c r="B196" i="2"/>
  <c r="E196" i="2" s="1"/>
  <c r="B197" i="2"/>
  <c r="B198" i="2"/>
  <c r="B199" i="2"/>
  <c r="B200" i="2"/>
  <c r="B201" i="2"/>
  <c r="E201" i="2" s="1"/>
  <c r="B202" i="2"/>
  <c r="E202" i="2" s="1"/>
  <c r="B203" i="2"/>
  <c r="E203" i="2" s="1"/>
  <c r="B204" i="2"/>
  <c r="E204" i="2" s="1"/>
  <c r="B205" i="2"/>
  <c r="B206" i="2"/>
  <c r="E206" i="2" s="1"/>
  <c r="B207" i="2"/>
  <c r="B208" i="2"/>
  <c r="B209" i="2"/>
  <c r="E209" i="2" s="1"/>
  <c r="B210" i="2"/>
  <c r="B211" i="2"/>
  <c r="E211" i="2" s="1"/>
  <c r="B212" i="2"/>
  <c r="E212" i="2" s="1"/>
  <c r="B213" i="2"/>
  <c r="B214" i="2"/>
  <c r="B215" i="2"/>
  <c r="B216" i="2"/>
  <c r="B217" i="2"/>
  <c r="E217" i="2" s="1"/>
  <c r="B218" i="2"/>
  <c r="E218" i="2" s="1"/>
  <c r="B219" i="2"/>
  <c r="E219" i="2" s="1"/>
  <c r="B220" i="2"/>
  <c r="E220" i="2" s="1"/>
  <c r="B221" i="2"/>
  <c r="B222" i="2"/>
  <c r="E222" i="2" s="1"/>
  <c r="B223" i="2"/>
  <c r="B224" i="2"/>
  <c r="B225" i="2"/>
  <c r="E225" i="2" s="1"/>
  <c r="B226" i="2"/>
  <c r="B227" i="2"/>
  <c r="E227" i="2" s="1"/>
  <c r="B228" i="2"/>
  <c r="E228" i="2" s="1"/>
  <c r="B229" i="2"/>
  <c r="B230" i="2"/>
  <c r="B231" i="2"/>
  <c r="B232" i="2"/>
  <c r="B233" i="2"/>
  <c r="E233" i="2" s="1"/>
  <c r="B234" i="2"/>
  <c r="E234" i="2" s="1"/>
  <c r="B235" i="2"/>
  <c r="E235" i="2" s="1"/>
  <c r="B236" i="2"/>
  <c r="E236" i="2" s="1"/>
  <c r="B237" i="2"/>
  <c r="B238" i="2"/>
  <c r="E238" i="2" s="1"/>
  <c r="B239" i="2"/>
  <c r="B240" i="2"/>
  <c r="B241" i="2"/>
  <c r="E241" i="2" s="1"/>
  <c r="B242" i="2"/>
  <c r="B243" i="2"/>
  <c r="E243" i="2" s="1"/>
  <c r="B244" i="2"/>
  <c r="E244" i="2" s="1"/>
  <c r="B245" i="2"/>
  <c r="B246" i="2"/>
  <c r="B247" i="2"/>
  <c r="B248" i="2"/>
  <c r="E248" i="2" s="1"/>
  <c r="B249" i="2"/>
  <c r="E249" i="2" s="1"/>
  <c r="B250" i="2"/>
  <c r="E250" i="2" s="1"/>
  <c r="B251" i="2"/>
  <c r="E251" i="2" s="1"/>
  <c r="B252" i="2"/>
  <c r="E252" i="2" s="1"/>
  <c r="B253" i="2"/>
  <c r="B254" i="2"/>
  <c r="E254" i="2" s="1"/>
  <c r="B255" i="2"/>
  <c r="E255" i="2" s="1"/>
  <c r="B256" i="2"/>
  <c r="B257" i="2"/>
  <c r="E257" i="2" s="1"/>
  <c r="A251" i="2"/>
  <c r="A252" i="2"/>
  <c r="A253" i="2"/>
  <c r="A254" i="2"/>
  <c r="A255" i="2"/>
  <c r="A256" i="2"/>
  <c r="A257" i="2"/>
  <c r="A25" i="2"/>
  <c r="A26" i="2"/>
  <c r="A27" i="2"/>
  <c r="A28" i="2"/>
  <c r="A29" i="2"/>
  <c r="A30" i="2"/>
  <c r="A31" i="2"/>
  <c r="A32" i="2"/>
  <c r="A33" i="2"/>
  <c r="A34" i="2"/>
  <c r="A35" i="2"/>
  <c r="A36" i="2"/>
  <c r="A37" i="2"/>
  <c r="A38" i="2"/>
  <c r="A39" i="2"/>
  <c r="A40" i="2"/>
  <c r="A41" i="2"/>
  <c r="A42" i="2"/>
  <c r="A43" i="2"/>
  <c r="A44" i="2"/>
  <c r="A45" i="2"/>
  <c r="A46" i="2"/>
  <c r="A47" i="2"/>
  <c r="A48" i="2"/>
  <c r="A49" i="2"/>
  <c r="A50" i="2"/>
  <c r="A51" i="2"/>
  <c r="A52" i="2"/>
  <c r="A53" i="2"/>
  <c r="A54" i="2"/>
  <c r="A55" i="2"/>
  <c r="A56" i="2"/>
  <c r="A57" i="2"/>
  <c r="A58" i="2"/>
  <c r="A59" i="2"/>
  <c r="A60" i="2"/>
  <c r="A61" i="2"/>
  <c r="A62" i="2"/>
  <c r="A63" i="2"/>
  <c r="A64" i="2"/>
  <c r="A65" i="2"/>
  <c r="A66" i="2"/>
  <c r="A67" i="2"/>
  <c r="A68" i="2"/>
  <c r="A69" i="2"/>
  <c r="A70" i="2"/>
  <c r="A71" i="2"/>
  <c r="A72" i="2"/>
  <c r="A73" i="2"/>
  <c r="A74" i="2"/>
  <c r="A75" i="2"/>
  <c r="A76" i="2"/>
  <c r="A77" i="2"/>
  <c r="A78" i="2"/>
  <c r="A79" i="2"/>
  <c r="A80" i="2"/>
  <c r="A81" i="2"/>
  <c r="A82" i="2"/>
  <c r="A83" i="2"/>
  <c r="A84" i="2"/>
  <c r="A85" i="2"/>
  <c r="A86" i="2"/>
  <c r="A87" i="2"/>
  <c r="A88" i="2"/>
  <c r="A89" i="2"/>
  <c r="A90" i="2"/>
  <c r="A91" i="2"/>
  <c r="A92" i="2"/>
  <c r="A93" i="2"/>
  <c r="A94" i="2"/>
  <c r="A95" i="2"/>
  <c r="A96" i="2"/>
  <c r="A97" i="2"/>
  <c r="A98" i="2"/>
  <c r="A99" i="2"/>
  <c r="A100" i="2"/>
  <c r="A101" i="2"/>
  <c r="A102" i="2"/>
  <c r="A103" i="2"/>
  <c r="A104" i="2"/>
  <c r="A105" i="2"/>
  <c r="A106" i="2"/>
  <c r="A107" i="2"/>
  <c r="A108" i="2"/>
  <c r="A109" i="2"/>
  <c r="A110" i="2"/>
  <c r="A111" i="2"/>
  <c r="A112" i="2"/>
  <c r="A113" i="2"/>
  <c r="A114" i="2"/>
  <c r="A115" i="2"/>
  <c r="A116" i="2"/>
  <c r="A117" i="2"/>
  <c r="A118" i="2"/>
  <c r="A119" i="2"/>
  <c r="A120" i="2"/>
  <c r="A121" i="2"/>
  <c r="A122" i="2"/>
  <c r="A123" i="2"/>
  <c r="A124" i="2"/>
  <c r="A125" i="2"/>
  <c r="A126" i="2"/>
  <c r="A127" i="2"/>
  <c r="A128" i="2"/>
  <c r="A129" i="2"/>
  <c r="A130" i="2"/>
  <c r="A131" i="2"/>
  <c r="A132" i="2"/>
  <c r="A133" i="2"/>
  <c r="A134" i="2"/>
  <c r="A135" i="2"/>
  <c r="A136" i="2"/>
  <c r="A137" i="2"/>
  <c r="A138" i="2"/>
  <c r="A139" i="2"/>
  <c r="A140" i="2"/>
  <c r="A141" i="2"/>
  <c r="A142" i="2"/>
  <c r="A143" i="2"/>
  <c r="A144" i="2"/>
  <c r="A145" i="2"/>
  <c r="A146" i="2"/>
  <c r="A147" i="2"/>
  <c r="A148" i="2"/>
  <c r="A149" i="2"/>
  <c r="A150" i="2"/>
  <c r="A151" i="2"/>
  <c r="A152" i="2"/>
  <c r="A153" i="2"/>
  <c r="A154" i="2"/>
  <c r="A155" i="2"/>
  <c r="A156" i="2"/>
  <c r="A157" i="2"/>
  <c r="A158" i="2"/>
  <c r="A159" i="2"/>
  <c r="A160" i="2"/>
  <c r="A161" i="2"/>
  <c r="A162" i="2"/>
  <c r="A163" i="2"/>
  <c r="A164" i="2"/>
  <c r="A165" i="2"/>
  <c r="A166" i="2"/>
  <c r="A167" i="2"/>
  <c r="A168" i="2"/>
  <c r="A169" i="2"/>
  <c r="A170" i="2"/>
  <c r="A171" i="2"/>
  <c r="A172" i="2"/>
  <c r="A173" i="2"/>
  <c r="A174" i="2"/>
  <c r="A175" i="2"/>
  <c r="A176" i="2"/>
  <c r="A177" i="2"/>
  <c r="A178" i="2"/>
  <c r="A179" i="2"/>
  <c r="A180" i="2"/>
  <c r="A181" i="2"/>
  <c r="A182" i="2"/>
  <c r="A183" i="2"/>
  <c r="A184" i="2"/>
  <c r="A185" i="2"/>
  <c r="A186" i="2"/>
  <c r="A187" i="2"/>
  <c r="A188" i="2"/>
  <c r="A189" i="2"/>
  <c r="A190" i="2"/>
  <c r="A191" i="2"/>
  <c r="A192" i="2"/>
  <c r="A193" i="2"/>
  <c r="A194" i="2"/>
  <c r="A195" i="2"/>
  <c r="A196" i="2"/>
  <c r="A197" i="2"/>
  <c r="A198" i="2"/>
  <c r="A199" i="2"/>
  <c r="A200" i="2"/>
  <c r="A201" i="2"/>
  <c r="A202" i="2"/>
  <c r="A203" i="2"/>
  <c r="A204" i="2"/>
  <c r="A205" i="2"/>
  <c r="A206" i="2"/>
  <c r="A207" i="2"/>
  <c r="A208" i="2"/>
  <c r="A209" i="2"/>
  <c r="A210" i="2"/>
  <c r="A211" i="2"/>
  <c r="A212" i="2"/>
  <c r="A213" i="2"/>
  <c r="A214" i="2"/>
  <c r="A215" i="2"/>
  <c r="A216" i="2"/>
  <c r="A217" i="2"/>
  <c r="A218" i="2"/>
  <c r="A219" i="2"/>
  <c r="A220" i="2"/>
  <c r="A221" i="2"/>
  <c r="A222" i="2"/>
  <c r="A223" i="2"/>
  <c r="A224" i="2"/>
  <c r="A225" i="2"/>
  <c r="A226" i="2"/>
  <c r="A227" i="2"/>
  <c r="A228" i="2"/>
  <c r="A229" i="2"/>
  <c r="A230" i="2"/>
  <c r="A231" i="2"/>
  <c r="A232" i="2"/>
  <c r="A233" i="2"/>
  <c r="A234" i="2"/>
  <c r="A235" i="2"/>
  <c r="A236" i="2"/>
  <c r="A237" i="2"/>
  <c r="A238" i="2"/>
  <c r="A239" i="2"/>
  <c r="A240" i="2"/>
  <c r="A241" i="2"/>
  <c r="A242" i="2"/>
  <c r="A243" i="2"/>
  <c r="A244" i="2"/>
  <c r="A245" i="2"/>
  <c r="A246" i="2"/>
  <c r="A247" i="2"/>
  <c r="A248" i="2"/>
  <c r="A249" i="2"/>
  <c r="A250" i="2"/>
  <c r="A9" i="2"/>
  <c r="A10" i="2"/>
  <c r="A11" i="2"/>
  <c r="A12" i="2"/>
  <c r="A13" i="2"/>
  <c r="A14" i="2"/>
  <c r="A15" i="2"/>
  <c r="A16" i="2"/>
  <c r="A17" i="2"/>
  <c r="A18" i="2"/>
  <c r="A19" i="2"/>
  <c r="A20" i="2"/>
  <c r="A21" i="2"/>
  <c r="A22" i="2"/>
  <c r="A23" i="2"/>
  <c r="A24" i="2"/>
  <c r="B8" i="2"/>
  <c r="E8" i="2" s="1"/>
  <c r="A8" i="2"/>
  <c r="BH7" i="2" l="1" a="1"/>
  <c r="BH7" i="2" s="1"/>
  <c r="AQ7" i="2" a="1"/>
  <c r="AQ7" i="2" s="1"/>
  <c r="E253" i="2"/>
  <c r="E237" i="2"/>
  <c r="E221" i="2"/>
  <c r="E205" i="2"/>
  <c r="E189" i="2"/>
  <c r="E173" i="2"/>
  <c r="E157" i="2"/>
  <c r="E141" i="2"/>
  <c r="E125" i="2"/>
  <c r="E109" i="2"/>
  <c r="E93" i="2"/>
  <c r="E77" i="2"/>
  <c r="E61" i="2"/>
  <c r="E45" i="2"/>
  <c r="E29" i="2"/>
  <c r="E216" i="2"/>
  <c r="E72" i="2"/>
  <c r="E247" i="2"/>
  <c r="E231" i="2"/>
  <c r="E215" i="2"/>
  <c r="E199" i="2"/>
  <c r="E183" i="2"/>
  <c r="E167" i="2"/>
  <c r="E151" i="2"/>
  <c r="E135" i="2"/>
  <c r="E119" i="2"/>
  <c r="E103" i="2"/>
  <c r="E87" i="2"/>
  <c r="E71" i="2"/>
  <c r="E55" i="2"/>
  <c r="E39" i="2"/>
  <c r="E23" i="2"/>
  <c r="E232" i="2"/>
  <c r="E56" i="2"/>
  <c r="E246" i="2"/>
  <c r="E230" i="2"/>
  <c r="E214" i="2"/>
  <c r="E198" i="2"/>
  <c r="E182" i="2"/>
  <c r="E166" i="2"/>
  <c r="E150" i="2"/>
  <c r="E134" i="2"/>
  <c r="E118" i="2"/>
  <c r="E102" i="2"/>
  <c r="E86" i="2"/>
  <c r="E70" i="2"/>
  <c r="E54" i="2"/>
  <c r="E38" i="2"/>
  <c r="E22" i="2"/>
  <c r="E200" i="2"/>
  <c r="E40" i="2"/>
  <c r="E245" i="2"/>
  <c r="E229" i="2"/>
  <c r="E213" i="2"/>
  <c r="E197" i="2"/>
  <c r="E181" i="2"/>
  <c r="E165" i="2"/>
  <c r="E149" i="2"/>
  <c r="E133" i="2"/>
  <c r="E117" i="2"/>
  <c r="E101" i="2"/>
  <c r="E85" i="2"/>
  <c r="E69" i="2"/>
  <c r="E53" i="2"/>
  <c r="E37" i="2"/>
  <c r="E21" i="2"/>
  <c r="E168" i="2"/>
  <c r="E24" i="2"/>
  <c r="E184" i="2"/>
  <c r="E88" i="2"/>
  <c r="E136" i="2"/>
  <c r="E242" i="2"/>
  <c r="E226" i="2"/>
  <c r="E210" i="2"/>
  <c r="E194" i="2"/>
  <c r="E178" i="2"/>
  <c r="E162" i="2"/>
  <c r="E146" i="2"/>
  <c r="E130" i="2"/>
  <c r="E114" i="2"/>
  <c r="E98" i="2"/>
  <c r="E82" i="2"/>
  <c r="E66" i="2"/>
  <c r="E50" i="2"/>
  <c r="E34" i="2"/>
  <c r="E18" i="2"/>
  <c r="E256" i="2"/>
  <c r="E240" i="2"/>
  <c r="E224" i="2"/>
  <c r="E208" i="2"/>
  <c r="E192" i="2"/>
  <c r="E176" i="2"/>
  <c r="E160" i="2"/>
  <c r="E144" i="2"/>
  <c r="E128" i="2"/>
  <c r="E112" i="2"/>
  <c r="E96" i="2"/>
  <c r="E80" i="2"/>
  <c r="E64" i="2"/>
  <c r="E48" i="2"/>
  <c r="E32" i="2"/>
  <c r="E16" i="2"/>
  <c r="E239" i="2"/>
  <c r="E223" i="2"/>
  <c r="E207" i="2"/>
  <c r="E191" i="2"/>
  <c r="E175" i="2"/>
  <c r="E159" i="2"/>
  <c r="E143" i="2"/>
  <c r="E127" i="2"/>
  <c r="E111" i="2"/>
  <c r="E95" i="2"/>
  <c r="E79" i="2"/>
  <c r="E63" i="2"/>
  <c r="E47" i="2"/>
  <c r="E31" i="2"/>
  <c r="E15" i="2"/>
  <c r="B3" i="2" l="1"/>
  <c r="D8" i="2" s="1"/>
  <c r="B4" i="2"/>
  <c r="C8" i="2"/>
  <c r="C9" i="2"/>
  <c r="C10" i="2"/>
  <c r="C11" i="2"/>
  <c r="C12" i="2"/>
  <c r="C13" i="2"/>
  <c r="C14" i="2"/>
  <c r="C15" i="2"/>
  <c r="C16" i="2"/>
  <c r="C17" i="2"/>
  <c r="C18" i="2"/>
  <c r="C19" i="2"/>
  <c r="C20" i="2"/>
  <c r="C21" i="2"/>
  <c r="C22" i="2"/>
  <c r="C23" i="2"/>
  <c r="C24" i="2"/>
  <c r="C25" i="2"/>
  <c r="C26" i="2"/>
  <c r="C27" i="2"/>
  <c r="C28" i="2"/>
  <c r="C29" i="2"/>
  <c r="C30" i="2"/>
  <c r="C31" i="2"/>
  <c r="C32" i="2"/>
  <c r="C33" i="2"/>
  <c r="C34" i="2"/>
  <c r="C35" i="2"/>
  <c r="C36" i="2"/>
  <c r="C37" i="2"/>
  <c r="C38" i="2"/>
  <c r="C39" i="2"/>
  <c r="C40" i="2"/>
  <c r="C41" i="2"/>
  <c r="C42" i="2"/>
  <c r="C43" i="2"/>
  <c r="C44" i="2"/>
  <c r="C45" i="2"/>
  <c r="C46" i="2"/>
  <c r="C47" i="2"/>
  <c r="C48" i="2"/>
  <c r="C49" i="2"/>
  <c r="C50" i="2"/>
  <c r="C51" i="2"/>
  <c r="C52" i="2"/>
  <c r="C53" i="2"/>
  <c r="C54" i="2"/>
  <c r="C55" i="2"/>
  <c r="C56" i="2"/>
  <c r="C57" i="2"/>
  <c r="C58" i="2"/>
  <c r="C59" i="2"/>
  <c r="C60" i="2"/>
  <c r="C61" i="2"/>
  <c r="C62" i="2"/>
  <c r="C63" i="2"/>
  <c r="C64" i="2"/>
  <c r="C65" i="2"/>
  <c r="C66" i="2"/>
  <c r="C67" i="2"/>
  <c r="C68" i="2"/>
  <c r="C69" i="2"/>
  <c r="C70" i="2"/>
  <c r="C71" i="2"/>
  <c r="C72" i="2"/>
  <c r="C73" i="2"/>
  <c r="C74" i="2"/>
  <c r="C75" i="2"/>
  <c r="C76" i="2"/>
  <c r="C77" i="2"/>
  <c r="C78" i="2"/>
  <c r="C79" i="2"/>
  <c r="C80" i="2"/>
  <c r="C81" i="2"/>
  <c r="C82" i="2"/>
  <c r="C83" i="2"/>
  <c r="C84" i="2"/>
  <c r="C85" i="2"/>
  <c r="C86" i="2"/>
  <c r="C87" i="2"/>
  <c r="C88" i="2"/>
  <c r="C89" i="2"/>
  <c r="C90" i="2"/>
  <c r="C91" i="2"/>
  <c r="C92" i="2"/>
  <c r="C93" i="2"/>
  <c r="C94" i="2"/>
  <c r="C95" i="2"/>
  <c r="C96" i="2"/>
  <c r="C97" i="2"/>
  <c r="C98" i="2"/>
  <c r="C99" i="2"/>
  <c r="C100" i="2"/>
  <c r="C101" i="2"/>
  <c r="C102" i="2"/>
  <c r="C103" i="2"/>
  <c r="C104" i="2"/>
  <c r="C105" i="2"/>
  <c r="C106" i="2"/>
  <c r="C107" i="2"/>
  <c r="C108" i="2"/>
  <c r="C109" i="2"/>
  <c r="C110" i="2"/>
  <c r="C111" i="2"/>
  <c r="C112" i="2"/>
  <c r="C113" i="2"/>
  <c r="C114" i="2"/>
  <c r="C115" i="2"/>
  <c r="C116" i="2"/>
  <c r="C117" i="2"/>
  <c r="C118" i="2"/>
  <c r="C119" i="2"/>
  <c r="C120" i="2"/>
  <c r="C121" i="2"/>
  <c r="C122" i="2"/>
  <c r="C123" i="2"/>
  <c r="C124" i="2"/>
  <c r="C125" i="2"/>
  <c r="C126" i="2"/>
  <c r="C127" i="2"/>
  <c r="C128" i="2"/>
  <c r="C129" i="2"/>
  <c r="C130" i="2"/>
  <c r="C131" i="2"/>
  <c r="C132" i="2"/>
  <c r="C133" i="2"/>
  <c r="C134" i="2"/>
  <c r="C135" i="2"/>
  <c r="C136" i="2"/>
  <c r="C137" i="2"/>
  <c r="C138" i="2"/>
  <c r="C139" i="2"/>
  <c r="C140" i="2"/>
  <c r="C141" i="2"/>
  <c r="C142" i="2"/>
  <c r="C143" i="2"/>
  <c r="C144" i="2"/>
  <c r="C145" i="2"/>
  <c r="C146" i="2"/>
  <c r="C147" i="2"/>
  <c r="C148" i="2"/>
  <c r="C149" i="2"/>
  <c r="C150" i="2"/>
  <c r="C151" i="2"/>
  <c r="C152" i="2"/>
  <c r="C153" i="2"/>
  <c r="C154" i="2"/>
  <c r="C155" i="2"/>
  <c r="C156" i="2"/>
  <c r="C157" i="2"/>
  <c r="C158" i="2"/>
  <c r="C159" i="2"/>
  <c r="C160" i="2"/>
  <c r="C161" i="2"/>
  <c r="C162" i="2"/>
  <c r="C163" i="2"/>
  <c r="C164" i="2"/>
  <c r="C165" i="2"/>
  <c r="C166" i="2"/>
  <c r="C167" i="2"/>
  <c r="C168" i="2"/>
  <c r="C169" i="2"/>
  <c r="C170" i="2"/>
  <c r="C171" i="2"/>
  <c r="C172" i="2"/>
  <c r="C173" i="2"/>
  <c r="C174" i="2"/>
  <c r="C175" i="2"/>
  <c r="C176" i="2"/>
  <c r="C177" i="2"/>
  <c r="C178" i="2"/>
  <c r="C179" i="2"/>
  <c r="C180" i="2"/>
  <c r="C181" i="2"/>
  <c r="C182" i="2"/>
  <c r="C183" i="2"/>
  <c r="C184" i="2"/>
  <c r="C185" i="2"/>
  <c r="C186" i="2"/>
  <c r="C187" i="2"/>
  <c r="C188" i="2"/>
  <c r="C189" i="2"/>
  <c r="C190" i="2"/>
  <c r="C191" i="2"/>
  <c r="C192" i="2"/>
  <c r="C193" i="2"/>
  <c r="C194" i="2"/>
  <c r="C195" i="2"/>
  <c r="C196" i="2"/>
  <c r="C197" i="2"/>
  <c r="C198" i="2"/>
  <c r="C199" i="2"/>
  <c r="C200" i="2"/>
  <c r="C201" i="2"/>
  <c r="C202" i="2"/>
  <c r="C203" i="2"/>
  <c r="C204" i="2"/>
  <c r="C205" i="2"/>
  <c r="C206" i="2"/>
  <c r="C207" i="2"/>
  <c r="C208" i="2"/>
  <c r="C209" i="2"/>
  <c r="C210" i="2"/>
  <c r="C211" i="2"/>
  <c r="C212" i="2"/>
  <c r="C213" i="2"/>
  <c r="C214" i="2"/>
  <c r="C215" i="2"/>
  <c r="C216" i="2"/>
  <c r="C217" i="2"/>
  <c r="C218" i="2"/>
  <c r="C219" i="2"/>
  <c r="C220" i="2"/>
  <c r="C221" i="2"/>
  <c r="C222" i="2"/>
  <c r="C223" i="2"/>
  <c r="C224" i="2"/>
  <c r="C225" i="2"/>
  <c r="C226" i="2"/>
  <c r="C227" i="2"/>
  <c r="C228" i="2"/>
  <c r="C229" i="2"/>
  <c r="C230" i="2"/>
  <c r="C231" i="2"/>
  <c r="C232" i="2"/>
  <c r="C233" i="2"/>
  <c r="C234" i="2"/>
  <c r="C235" i="2"/>
  <c r="C236" i="2"/>
  <c r="C237" i="2"/>
  <c r="C238" i="2"/>
  <c r="C239" i="2"/>
  <c r="C240" i="2"/>
  <c r="C241" i="2"/>
  <c r="C242" i="2"/>
  <c r="C243" i="2"/>
  <c r="C244" i="2"/>
  <c r="C245" i="2"/>
  <c r="C246" i="2"/>
  <c r="C247" i="2"/>
  <c r="C248" i="2"/>
  <c r="C249" i="2"/>
  <c r="C250" i="2"/>
  <c r="C251" i="2"/>
  <c r="C252" i="2"/>
  <c r="C253" i="2"/>
  <c r="C254" i="2"/>
  <c r="C255" i="2"/>
  <c r="C256" i="2"/>
  <c r="C257" i="2"/>
  <c r="D132" i="2" l="1"/>
  <c r="D73" i="2"/>
  <c r="D212" i="2"/>
  <c r="D181" i="2"/>
  <c r="D256" i="2"/>
  <c r="D236" i="2"/>
  <c r="D223" i="2"/>
  <c r="D146" i="2"/>
  <c r="D204" i="2"/>
  <c r="D246" i="2"/>
  <c r="D231" i="2"/>
  <c r="D221" i="2"/>
  <c r="D192" i="2"/>
  <c r="D245" i="2"/>
  <c r="D130" i="2"/>
  <c r="D203" i="2"/>
  <c r="D215" i="2"/>
  <c r="D255" i="2"/>
  <c r="D227" i="2"/>
  <c r="D202" i="2"/>
  <c r="D253" i="2"/>
  <c r="D254" i="2"/>
  <c r="D186" i="2"/>
  <c r="D213" i="2"/>
  <c r="D143" i="2"/>
  <c r="D114" i="2"/>
  <c r="D99" i="2"/>
  <c r="D201" i="2"/>
  <c r="D247" i="2"/>
  <c r="D244" i="2"/>
  <c r="D232" i="2"/>
  <c r="D211" i="2"/>
  <c r="D53" i="2"/>
  <c r="D219" i="2"/>
  <c r="D155" i="2"/>
  <c r="D240" i="2"/>
  <c r="D229" i="2"/>
  <c r="D196" i="2"/>
  <c r="D252" i="2"/>
  <c r="D184" i="2"/>
  <c r="D239" i="2"/>
  <c r="D228" i="2"/>
  <c r="D205" i="2"/>
  <c r="D248" i="2"/>
  <c r="D194" i="2"/>
  <c r="D237" i="2"/>
  <c r="D220" i="2"/>
  <c r="D193" i="2"/>
  <c r="D171" i="2"/>
  <c r="D145" i="2"/>
  <c r="D200" i="2"/>
  <c r="D179" i="2"/>
  <c r="D209" i="2"/>
  <c r="D153" i="2"/>
  <c r="D243" i="2"/>
  <c r="D226" i="2"/>
  <c r="D234" i="2"/>
  <c r="D217" i="2"/>
  <c r="D208" i="2"/>
  <c r="D250" i="2"/>
  <c r="D242" i="2"/>
  <c r="D225" i="2"/>
  <c r="D188" i="2"/>
  <c r="D178" i="2"/>
  <c r="D165" i="2"/>
  <c r="D251" i="2"/>
  <c r="D216" i="2"/>
  <c r="D207" i="2"/>
  <c r="D235" i="2"/>
  <c r="D218" i="2"/>
  <c r="D154" i="2"/>
  <c r="D233" i="2"/>
  <c r="D257" i="2"/>
  <c r="D249" i="2"/>
  <c r="D241" i="2"/>
  <c r="D224" i="2"/>
  <c r="D197" i="2"/>
  <c r="D187" i="2"/>
  <c r="D177" i="2"/>
  <c r="D85" i="2"/>
  <c r="D195" i="2"/>
  <c r="D176" i="2"/>
  <c r="D163" i="2"/>
  <c r="D185" i="2"/>
  <c r="D162" i="2"/>
  <c r="D151" i="2"/>
  <c r="D125" i="2"/>
  <c r="D173" i="2"/>
  <c r="D210" i="2"/>
  <c r="D161" i="2"/>
  <c r="D160" i="2"/>
  <c r="D110" i="2"/>
  <c r="D189" i="2"/>
  <c r="D180" i="2"/>
  <c r="D170" i="2"/>
  <c r="D123" i="2"/>
  <c r="D169" i="2"/>
  <c r="D121" i="2"/>
  <c r="D83" i="2"/>
  <c r="D95" i="2"/>
  <c r="D168" i="2"/>
  <c r="D140" i="2"/>
  <c r="D129" i="2"/>
  <c r="D106" i="2"/>
  <c r="D94" i="2"/>
  <c r="D81" i="2"/>
  <c r="D67" i="2"/>
  <c r="D159" i="2"/>
  <c r="D167" i="2"/>
  <c r="D149" i="2"/>
  <c r="D139" i="2"/>
  <c r="D117" i="2"/>
  <c r="D105" i="2"/>
  <c r="D199" i="2"/>
  <c r="D191" i="2"/>
  <c r="D183" i="2"/>
  <c r="D175" i="2"/>
  <c r="D158" i="2"/>
  <c r="D127" i="2"/>
  <c r="D166" i="2"/>
  <c r="D148" i="2"/>
  <c r="D238" i="2"/>
  <c r="D230" i="2"/>
  <c r="D222" i="2"/>
  <c r="D214" i="2"/>
  <c r="D206" i="2"/>
  <c r="D198" i="2"/>
  <c r="D190" i="2"/>
  <c r="D182" i="2"/>
  <c r="D174" i="2"/>
  <c r="D157" i="2"/>
  <c r="D137" i="2"/>
  <c r="D126" i="2"/>
  <c r="D92" i="2"/>
  <c r="D113" i="2"/>
  <c r="D101" i="2"/>
  <c r="D79" i="2"/>
  <c r="D142" i="2"/>
  <c r="D131" i="2"/>
  <c r="D122" i="2"/>
  <c r="D111" i="2"/>
  <c r="D100" i="2"/>
  <c r="D91" i="2"/>
  <c r="D89" i="2"/>
  <c r="D36" i="2"/>
  <c r="D76" i="2"/>
  <c r="D172" i="2"/>
  <c r="D164" i="2"/>
  <c r="D156" i="2"/>
  <c r="D147" i="2"/>
  <c r="D138" i="2"/>
  <c r="D118" i="2"/>
  <c r="D86" i="2"/>
  <c r="D63" i="2"/>
  <c r="D9" i="2"/>
  <c r="D62" i="2"/>
  <c r="D51" i="2"/>
  <c r="D71" i="2"/>
  <c r="D135" i="2"/>
  <c r="D109" i="2"/>
  <c r="D70" i="2"/>
  <c r="D60" i="2"/>
  <c r="D49" i="2"/>
  <c r="D134" i="2"/>
  <c r="D108" i="2"/>
  <c r="D69" i="2"/>
  <c r="D59" i="2"/>
  <c r="D116" i="2"/>
  <c r="D78" i="2"/>
  <c r="D150" i="2"/>
  <c r="D133" i="2"/>
  <c r="D107" i="2"/>
  <c r="D97" i="2"/>
  <c r="D87" i="2"/>
  <c r="D68" i="2"/>
  <c r="D46" i="2"/>
  <c r="D141" i="2"/>
  <c r="D124" i="2"/>
  <c r="D115" i="2"/>
  <c r="D77" i="2"/>
  <c r="D57" i="2"/>
  <c r="D19" i="2"/>
  <c r="D44" i="2"/>
  <c r="D31" i="2"/>
  <c r="D54" i="2"/>
  <c r="D43" i="2"/>
  <c r="D17" i="2"/>
  <c r="D52" i="2"/>
  <c r="D61" i="2"/>
  <c r="D41" i="2"/>
  <c r="D28" i="2"/>
  <c r="D37" i="2"/>
  <c r="D25" i="2"/>
  <c r="D27" i="2"/>
  <c r="D15" i="2"/>
  <c r="D55" i="2"/>
  <c r="D103" i="2"/>
  <c r="D45" i="2"/>
  <c r="D35" i="2"/>
  <c r="D14" i="2"/>
  <c r="D23" i="2"/>
  <c r="D13" i="2"/>
  <c r="D33" i="2"/>
  <c r="D22" i="2"/>
  <c r="D39" i="2"/>
  <c r="D30" i="2"/>
  <c r="D21" i="2"/>
  <c r="D12" i="2"/>
  <c r="D119" i="2"/>
  <c r="D102" i="2"/>
  <c r="D93" i="2"/>
  <c r="D84" i="2"/>
  <c r="D75" i="2"/>
  <c r="D47" i="2"/>
  <c r="D38" i="2"/>
  <c r="D29" i="2"/>
  <c r="D20" i="2"/>
  <c r="D11" i="2"/>
  <c r="D65" i="2"/>
  <c r="D98" i="2"/>
  <c r="D90" i="2"/>
  <c r="D82" i="2"/>
  <c r="D74" i="2"/>
  <c r="D66" i="2"/>
  <c r="D58" i="2"/>
  <c r="D50" i="2"/>
  <c r="D42" i="2"/>
  <c r="D34" i="2"/>
  <c r="D26" i="2"/>
  <c r="D18" i="2"/>
  <c r="D10" i="2"/>
  <c r="D152" i="2"/>
  <c r="D144" i="2"/>
  <c r="D136" i="2"/>
  <c r="D128" i="2"/>
  <c r="D120" i="2"/>
  <c r="D112" i="2"/>
  <c r="D104" i="2"/>
  <c r="D96" i="2"/>
  <c r="D88" i="2"/>
  <c r="D80" i="2"/>
  <c r="D72" i="2"/>
  <c r="D64" i="2"/>
  <c r="D56" i="2"/>
  <c r="D48" i="2"/>
  <c r="D40" i="2"/>
  <c r="D32" i="2"/>
  <c r="D24" i="2"/>
  <c r="D16" i="2"/>
  <c r="I7" i="2" a="1"/>
  <c r="Z7" i="2" a="1"/>
  <c r="Z7" i="2" s="1"/>
  <c r="I7" i="2"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<sst xmlns="http://schemas.openxmlformats.org/spreadsheetml/2006/main" count="2739" uniqueCount="558">
  <si>
    <t>Transaction_ID</t>
  </si>
  <si>
    <t>Date</t>
  </si>
  <si>
    <t>Customer_ID</t>
  </si>
  <si>
    <t>Customer_Name</t>
  </si>
  <si>
    <t>Product_ID</t>
  </si>
  <si>
    <t>Product_Name</t>
  </si>
  <si>
    <t>Category</t>
  </si>
  <si>
    <t>Quantity</t>
  </si>
  <si>
    <t>Unit_Price</t>
  </si>
  <si>
    <t>Payment_Method</t>
  </si>
  <si>
    <t>Region</t>
  </si>
  <si>
    <t>Customer_Segment</t>
  </si>
  <si>
    <t>Customer_Since</t>
  </si>
  <si>
    <t>Total_Amount</t>
  </si>
  <si>
    <t>TRX0155</t>
  </si>
  <si>
    <t>CUST023</t>
  </si>
  <si>
    <t>Paul Baker</t>
  </si>
  <si>
    <t>P009</t>
  </si>
  <si>
    <t>Monitor</t>
  </si>
  <si>
    <t>Electronics</t>
  </si>
  <si>
    <t>Cash</t>
  </si>
  <si>
    <t>Central</t>
  </si>
  <si>
    <t>Basic</t>
  </si>
  <si>
    <t>TRX0023</t>
  </si>
  <si>
    <t>CUST013</t>
  </si>
  <si>
    <t>Joseph Jackson</t>
  </si>
  <si>
    <t>Credit Card</t>
  </si>
  <si>
    <t>Premium</t>
  </si>
  <si>
    <t>TRX0139</t>
  </si>
  <si>
    <t>CUST021</t>
  </si>
  <si>
    <t>Kevin Scott</t>
  </si>
  <si>
    <t>P005</t>
  </si>
  <si>
    <t>Blender</t>
  </si>
  <si>
    <t>Appliances</t>
  </si>
  <si>
    <t>PayPal</t>
  </si>
  <si>
    <t>South</t>
  </si>
  <si>
    <t>Standard</t>
  </si>
  <si>
    <t>TRX0043</t>
  </si>
  <si>
    <t>CUST046</t>
  </si>
  <si>
    <t>Kathleen Bennett</t>
  </si>
  <si>
    <t>North</t>
  </si>
  <si>
    <t>TRX0212</t>
  </si>
  <si>
    <t>CUST003</t>
  </si>
  <si>
    <t>Michael Brown</t>
  </si>
  <si>
    <t>P008</t>
  </si>
  <si>
    <t>Bookshelf</t>
  </si>
  <si>
    <t>Furniture</t>
  </si>
  <si>
    <t>TRX0092</t>
  </si>
  <si>
    <t>CUST024</t>
  </si>
  <si>
    <t>Dorothy Nelson</t>
  </si>
  <si>
    <t>West</t>
  </si>
  <si>
    <t>TRX0193</t>
  </si>
  <si>
    <t>P003</t>
  </si>
  <si>
    <t>Headphones</t>
  </si>
  <si>
    <t>TRX0240</t>
  </si>
  <si>
    <t>CUST017</t>
  </si>
  <si>
    <t>Charles Allen</t>
  </si>
  <si>
    <t>Debit Card</t>
  </si>
  <si>
    <t>TRX0135</t>
  </si>
  <si>
    <t>CUST009</t>
  </si>
  <si>
    <t>Robert Thomas</t>
  </si>
  <si>
    <t>P001</t>
  </si>
  <si>
    <t>Laptop</t>
  </si>
  <si>
    <t>East</t>
  </si>
  <si>
    <t>TRX0185</t>
  </si>
  <si>
    <t>CUST026</t>
  </si>
  <si>
    <t>Karen Hill</t>
  </si>
  <si>
    <t>TRX0138</t>
  </si>
  <si>
    <t>CUST022</t>
  </si>
  <si>
    <t>Susan Green</t>
  </si>
  <si>
    <t>TRX0209</t>
  </si>
  <si>
    <t>TRX0246</t>
  </si>
  <si>
    <t>CUST041</t>
  </si>
  <si>
    <t>Peter Richardson</t>
  </si>
  <si>
    <t>TRX0067</t>
  </si>
  <si>
    <t>CUST043</t>
  </si>
  <si>
    <t>Dennis Gray</t>
  </si>
  <si>
    <t>TRX0191</t>
  </si>
  <si>
    <t>CUST038</t>
  </si>
  <si>
    <t>Michelle Rogers</t>
  </si>
  <si>
    <t>P002</t>
  </si>
  <si>
    <t>Smartphone</t>
  </si>
  <si>
    <t>TRX0230</t>
  </si>
  <si>
    <t>CUST027</t>
  </si>
  <si>
    <t>George Adams</t>
  </si>
  <si>
    <t>TRX0049</t>
  </si>
  <si>
    <t>CUST025</t>
  </si>
  <si>
    <t>Mark Carter</t>
  </si>
  <si>
    <t>TRX0134</t>
  </si>
  <si>
    <t>CUST010</t>
  </si>
  <si>
    <t>Maria Garcia</t>
  </si>
  <si>
    <t>TRX0122</t>
  </si>
  <si>
    <t>TRX0222</t>
  </si>
  <si>
    <t>CUST048</t>
  </si>
  <si>
    <t>Virginia Sanders</t>
  </si>
  <si>
    <t>TRX0231</t>
  </si>
  <si>
    <t>CUST018</t>
  </si>
  <si>
    <t>Barbara Young</t>
  </si>
  <si>
    <t>TRX0239</t>
  </si>
  <si>
    <t>CUST012</t>
  </si>
  <si>
    <t>Patricia Moore</t>
  </si>
  <si>
    <t>TRX0204</t>
  </si>
  <si>
    <t>CUST044</t>
  </si>
  <si>
    <t>Cynthia Price</t>
  </si>
  <si>
    <t>TRX0242</t>
  </si>
  <si>
    <t>P007</t>
  </si>
  <si>
    <t>Desk</t>
  </si>
  <si>
    <t>TRX0071</t>
  </si>
  <si>
    <t>CUST036</t>
  </si>
  <si>
    <t>Nancy Collins</t>
  </si>
  <si>
    <t>TRX0040</t>
  </si>
  <si>
    <t>TRX0235</t>
  </si>
  <si>
    <t>CUST014</t>
  </si>
  <si>
    <t>Linda Martin</t>
  </si>
  <si>
    <t>P004</t>
  </si>
  <si>
    <t>Coffee Maker</t>
  </si>
  <si>
    <t>TRX0004</t>
  </si>
  <si>
    <t>P010</t>
  </si>
  <si>
    <t>Keyboard</t>
  </si>
  <si>
    <t>TRX0063</t>
  </si>
  <si>
    <t>CUST030</t>
  </si>
  <si>
    <t>Helen Roberts</t>
  </si>
  <si>
    <t>TRX0241</t>
  </si>
  <si>
    <t>CUST029</t>
  </si>
  <si>
    <t>Edward Mitchell</t>
  </si>
  <si>
    <t>TRX0029</t>
  </si>
  <si>
    <t>P006</t>
  </si>
  <si>
    <t>Office Chair</t>
  </si>
  <si>
    <t>TRX0194</t>
  </si>
  <si>
    <t>CUST006</t>
  </si>
  <si>
    <t>Lisa Anderson</t>
  </si>
  <si>
    <t>TRX0130</t>
  </si>
  <si>
    <t>CUST002</t>
  </si>
  <si>
    <t>Emma Wilson</t>
  </si>
  <si>
    <t>TRX0041</t>
  </si>
  <si>
    <t>TRX0232</t>
  </si>
  <si>
    <t>TRX0021</t>
  </si>
  <si>
    <t>TRX0245</t>
  </si>
  <si>
    <t>CUST031</t>
  </si>
  <si>
    <t>Steven Turner</t>
  </si>
  <si>
    <t>TRX0015</t>
  </si>
  <si>
    <t>CUST008</t>
  </si>
  <si>
    <t>Jennifer Taylor</t>
  </si>
  <si>
    <t>TRX0202</t>
  </si>
  <si>
    <t>CUST035</t>
  </si>
  <si>
    <t>Harry Morgan</t>
  </si>
  <si>
    <t>TRX0042</t>
  </si>
  <si>
    <t>CUST019</t>
  </si>
  <si>
    <t>Daniel King</t>
  </si>
  <si>
    <t>TRX0128</t>
  </si>
  <si>
    <t>CUST040</t>
  </si>
  <si>
    <t>Sharon Butler</t>
  </si>
  <si>
    <t>TRX0117</t>
  </si>
  <si>
    <t>TRX0208</t>
  </si>
  <si>
    <t>CUST004</t>
  </si>
  <si>
    <t>Sarah Davis</t>
  </si>
  <si>
    <t>TRX0234</t>
  </si>
  <si>
    <t>TRX0121</t>
  </si>
  <si>
    <t>CUST028</t>
  </si>
  <si>
    <t>Betty Campbell</t>
  </si>
  <si>
    <t>TRX0220</t>
  </si>
  <si>
    <t>TRX0093</t>
  </si>
  <si>
    <t>CUST050</t>
  </si>
  <si>
    <t>Julie Foster</t>
  </si>
  <si>
    <t>TRX0088</t>
  </si>
  <si>
    <t>TRX0115</t>
  </si>
  <si>
    <t>TRX0154</t>
  </si>
  <si>
    <t>TRX0044</t>
  </si>
  <si>
    <t>TRX0061</t>
  </si>
  <si>
    <t>TRX0150</t>
  </si>
  <si>
    <t>TRX0025</t>
  </si>
  <si>
    <t>CUST049</t>
  </si>
  <si>
    <t>Raymond Ross</t>
  </si>
  <si>
    <t>TRX0078</t>
  </si>
  <si>
    <t>TRX0007</t>
  </si>
  <si>
    <t>TRX0184</t>
  </si>
  <si>
    <t>TRX0104</t>
  </si>
  <si>
    <t>TRX0127</t>
  </si>
  <si>
    <t>TRX0096</t>
  </si>
  <si>
    <t>TRX0192</t>
  </si>
  <si>
    <t>TRX0052</t>
  </si>
  <si>
    <t>TRX0070</t>
  </si>
  <si>
    <t>CUST007</t>
  </si>
  <si>
    <t>David Martinez</t>
  </si>
  <si>
    <t>TRX0086</t>
  </si>
  <si>
    <t>CUST020</t>
  </si>
  <si>
    <t>Margaret Wright</t>
  </si>
  <si>
    <t>TRX0113</t>
  </si>
  <si>
    <t>TRX0114</t>
  </si>
  <si>
    <t>TRX0136</t>
  </si>
  <si>
    <t>TRX0018</t>
  </si>
  <si>
    <t>TRX0141</t>
  </si>
  <si>
    <t>CUST033</t>
  </si>
  <si>
    <t>Frank Torres</t>
  </si>
  <si>
    <t>TRX0097</t>
  </si>
  <si>
    <t>TRX0169</t>
  </si>
  <si>
    <t>CUST047</t>
  </si>
  <si>
    <t>Gerald Murphy</t>
  </si>
  <si>
    <t>TRX0216</t>
  </si>
  <si>
    <t>TRX0131</t>
  </si>
  <si>
    <t>TRX0162</t>
  </si>
  <si>
    <t>TRX0244</t>
  </si>
  <si>
    <t>TRX0006</t>
  </si>
  <si>
    <t>TRX0215</t>
  </si>
  <si>
    <t>TRX0080</t>
  </si>
  <si>
    <t>TRX0228</t>
  </si>
  <si>
    <t>TRX0157</t>
  </si>
  <si>
    <t>TRX0002</t>
  </si>
  <si>
    <t>TRX0217</t>
  </si>
  <si>
    <t>TRX0249</t>
  </si>
  <si>
    <t>TRX0065</t>
  </si>
  <si>
    <t>CUST016</t>
  </si>
  <si>
    <t>Elizabeth Hall</t>
  </si>
  <si>
    <t>TRX0176</t>
  </si>
  <si>
    <t>TRX0101</t>
  </si>
  <si>
    <t>TRX0205</t>
  </si>
  <si>
    <t>TRX0020</t>
  </si>
  <si>
    <t>TRX0075</t>
  </si>
  <si>
    <t>TRX0098</t>
  </si>
  <si>
    <t>TRX0247</t>
  </si>
  <si>
    <t>TRX0027</t>
  </si>
  <si>
    <t>TRX0140</t>
  </si>
  <si>
    <t>TRX0132</t>
  </si>
  <si>
    <t>TRX0031</t>
  </si>
  <si>
    <t>TRX0236</t>
  </si>
  <si>
    <t>TRX0001</t>
  </si>
  <si>
    <t>CUST039</t>
  </si>
  <si>
    <t>Lawrence Reed</t>
  </si>
  <si>
    <t>TRX0037</t>
  </si>
  <si>
    <t>TRX0058</t>
  </si>
  <si>
    <t>TRX0170</t>
  </si>
  <si>
    <t>CUST034</t>
  </si>
  <si>
    <t>Carol Evans</t>
  </si>
  <si>
    <t>TRX0248</t>
  </si>
  <si>
    <t>CUST032</t>
  </si>
  <si>
    <t>Sandra Phillips</t>
  </si>
  <si>
    <t>TRX0099</t>
  </si>
  <si>
    <t>TRX0074</t>
  </si>
  <si>
    <t>TRX0225</t>
  </si>
  <si>
    <t>TRX0100</t>
  </si>
  <si>
    <t>TRX0142</t>
  </si>
  <si>
    <t>TRX0112</t>
  </si>
  <si>
    <t>TRX0161</t>
  </si>
  <si>
    <t>TRX0108</t>
  </si>
  <si>
    <t>TRX0211</t>
  </si>
  <si>
    <t>TRX0005</t>
  </si>
  <si>
    <t>CUST042</t>
  </si>
  <si>
    <t>Ruth Brooks</t>
  </si>
  <si>
    <t>TRX0195</t>
  </si>
  <si>
    <t>TRX0054</t>
  </si>
  <si>
    <t>TRX0077</t>
  </si>
  <si>
    <t>TRX0111</t>
  </si>
  <si>
    <t>CUST011</t>
  </si>
  <si>
    <t>William White</t>
  </si>
  <si>
    <t>TRX0123</t>
  </si>
  <si>
    <t>TRX0177</t>
  </si>
  <si>
    <t>TRX0119</t>
  </si>
  <si>
    <t>TRX0181</t>
  </si>
  <si>
    <t>TRX0129</t>
  </si>
  <si>
    <t>CUST015</t>
  </si>
  <si>
    <t>Richard Lee</t>
  </si>
  <si>
    <t>TRX0174</t>
  </si>
  <si>
    <t>TRX0146</t>
  </si>
  <si>
    <t>TRX0203</t>
  </si>
  <si>
    <t>TRX0055</t>
  </si>
  <si>
    <t>TRX0218</t>
  </si>
  <si>
    <t>TRX0085</t>
  </si>
  <si>
    <t>TRX0158</t>
  </si>
  <si>
    <t>TRX0173</t>
  </si>
  <si>
    <t>TRX0034</t>
  </si>
  <si>
    <t>TRX0189</t>
  </si>
  <si>
    <t>TRX0190</t>
  </si>
  <si>
    <t>TRX0079</t>
  </si>
  <si>
    <t>TRX0095</t>
  </si>
  <si>
    <t>TRX0009</t>
  </si>
  <si>
    <t>TRX0167</t>
  </si>
  <si>
    <t>TRX0153</t>
  </si>
  <si>
    <t>TRX0057</t>
  </si>
  <si>
    <t>TRX0017</t>
  </si>
  <si>
    <t>TRX0060</t>
  </si>
  <si>
    <t>TRX0109</t>
  </si>
  <si>
    <t>TRX0090</t>
  </si>
  <si>
    <t>TRX0035</t>
  </si>
  <si>
    <t>TRX0172</t>
  </si>
  <si>
    <t>TRX0076</t>
  </si>
  <si>
    <t>TRX0210</t>
  </si>
  <si>
    <t>TRX0149</t>
  </si>
  <si>
    <t>TRX0073</t>
  </si>
  <si>
    <t>TRX0033</t>
  </si>
  <si>
    <t>TRX0160</t>
  </si>
  <si>
    <t>TRX0145</t>
  </si>
  <si>
    <t>TRX0148</t>
  </si>
  <si>
    <t>TRX0012</t>
  </si>
  <si>
    <t>CUST045</t>
  </si>
  <si>
    <t>Douglas Watson</t>
  </si>
  <si>
    <t>TRX0206</t>
  </si>
  <si>
    <t>TRX0045</t>
  </si>
  <si>
    <t>TRX0094</t>
  </si>
  <si>
    <t>TRX0133</t>
  </si>
  <si>
    <t>TRX0201</t>
  </si>
  <si>
    <t>TRX0137</t>
  </si>
  <si>
    <t>TRX0066</t>
  </si>
  <si>
    <t>TRX0180</t>
  </si>
  <si>
    <t>TRX0082</t>
  </si>
  <si>
    <t>CUST005</t>
  </si>
  <si>
    <t>James Johnson</t>
  </si>
  <si>
    <t>TRX0036</t>
  </si>
  <si>
    <t>TRX0198</t>
  </si>
  <si>
    <t>TRX0032</t>
  </si>
  <si>
    <t>TRX0081</t>
  </si>
  <si>
    <t>TRX0224</t>
  </si>
  <si>
    <t>TRX0028</t>
  </si>
  <si>
    <t>TRX0183</t>
  </si>
  <si>
    <t>TRX0163</t>
  </si>
  <si>
    <t>TRX0046</t>
  </si>
  <si>
    <t>TRX0164</t>
  </si>
  <si>
    <t>TRX0008</t>
  </si>
  <si>
    <t>TRX0171</t>
  </si>
  <si>
    <t>TRX0143</t>
  </si>
  <si>
    <t>TRX0165</t>
  </si>
  <si>
    <t>TRX0156</t>
  </si>
  <si>
    <t>TRX0147</t>
  </si>
  <si>
    <t>TRX0207</t>
  </si>
  <si>
    <t>TRX0056</t>
  </si>
  <si>
    <t>TRX0026</t>
  </si>
  <si>
    <t>CUST037</t>
  </si>
  <si>
    <t>Arthur Edwards</t>
  </si>
  <si>
    <t>TRX0237</t>
  </si>
  <si>
    <t>TRX0091</t>
  </si>
  <si>
    <t>TRX0125</t>
  </si>
  <si>
    <t>TRX0223</t>
  </si>
  <si>
    <t>TRX0243</t>
  </si>
  <si>
    <t>TRX0084</t>
  </si>
  <si>
    <t>TRX0238</t>
  </si>
  <si>
    <t>TRX0102</t>
  </si>
  <si>
    <t>TRX0022</t>
  </si>
  <si>
    <t>TRX0087</t>
  </si>
  <si>
    <t>TRX0107</t>
  </si>
  <si>
    <t>TRX0051</t>
  </si>
  <si>
    <t>TRX0106</t>
  </si>
  <si>
    <t>TRX0059</t>
  </si>
  <si>
    <t>TRX0072</t>
  </si>
  <si>
    <t>TRX0110</t>
  </si>
  <si>
    <t>TRX0126</t>
  </si>
  <si>
    <t>TRX0159</t>
  </si>
  <si>
    <t>TRX0030</t>
  </si>
  <si>
    <t>TRX0178</t>
  </si>
  <si>
    <t>TRX0188</t>
  </si>
  <si>
    <t>TRX0010</t>
  </si>
  <si>
    <t>TRX0069</t>
  </si>
  <si>
    <t>TRX0166</t>
  </si>
  <si>
    <t>TRX0219</t>
  </si>
  <si>
    <t>TRX0024</t>
  </si>
  <si>
    <t>TRX0105</t>
  </si>
  <si>
    <t>TRX0011</t>
  </si>
  <si>
    <t>TRX0187</t>
  </si>
  <si>
    <t>TRX0089</t>
  </si>
  <si>
    <t>TRX0196</t>
  </si>
  <si>
    <t>TRX0118</t>
  </si>
  <si>
    <t>TRX0179</t>
  </si>
  <si>
    <t>TRX0168</t>
  </si>
  <si>
    <t>TRX0214</t>
  </si>
  <si>
    <t>TRX0221</t>
  </si>
  <si>
    <t>TRX0083</t>
  </si>
  <si>
    <t>TRX0151</t>
  </si>
  <si>
    <t>TRX0047</t>
  </si>
  <si>
    <t>TRX0200</t>
  </si>
  <si>
    <t>TRX0062</t>
  </si>
  <si>
    <t>TRX0182</t>
  </si>
  <si>
    <t>TRX0229</t>
  </si>
  <si>
    <t>TRX0048</t>
  </si>
  <si>
    <t>TRX0227</t>
  </si>
  <si>
    <t>TRX0226</t>
  </si>
  <si>
    <t>TRX0053</t>
  </si>
  <si>
    <t>TRX0233</t>
  </si>
  <si>
    <t>TRX0175</t>
  </si>
  <si>
    <t>TRX0186</t>
  </si>
  <si>
    <t>TRX0016</t>
  </si>
  <si>
    <t>TRX0199</t>
  </si>
  <si>
    <t>TRX0038</t>
  </si>
  <si>
    <t>TRX0014</t>
  </si>
  <si>
    <t>TRX0003</t>
  </si>
  <si>
    <t>TRX0124</t>
  </si>
  <si>
    <t>TRX0013</t>
  </si>
  <si>
    <t>TRX0019</t>
  </si>
  <si>
    <t>TRX0050</t>
  </si>
  <si>
    <t>CUST001</t>
  </si>
  <si>
    <t>John Smith</t>
  </si>
  <si>
    <t>TRX0152</t>
  </si>
  <si>
    <t>TRX0213</t>
  </si>
  <si>
    <t>TRX0197</t>
  </si>
  <si>
    <t>TRX0250</t>
  </si>
  <si>
    <t>TRX0068</t>
  </si>
  <si>
    <t>TRX0144</t>
  </si>
  <si>
    <t>TRX0039</t>
  </si>
  <si>
    <t>TRX0116</t>
  </si>
  <si>
    <t>TRX0120</t>
  </si>
  <si>
    <t>TRX0103</t>
  </si>
  <si>
    <t>TRX0064</t>
  </si>
  <si>
    <t>DATA INTELLIGENCE ANALYSIS</t>
  </si>
  <si>
    <t>Current Date</t>
  </si>
  <si>
    <t>Current Date &amp; Time</t>
  </si>
  <si>
    <t>Customer Name</t>
  </si>
  <si>
    <t>Customer Since</t>
  </si>
  <si>
    <t>Customer Tenure (Years)</t>
  </si>
  <si>
    <t>Month End Date</t>
  </si>
  <si>
    <t>Customer Tenure (Months)</t>
  </si>
  <si>
    <t>Filter Electronics transactions</t>
  </si>
  <si>
    <t>Filter by Region</t>
  </si>
  <si>
    <t>Filter using two conditions</t>
  </si>
  <si>
    <t>Filter using multiple regions</t>
  </si>
  <si>
    <t>Create_Timestamp</t>
  </si>
  <si>
    <t>Transaction_Level</t>
  </si>
  <si>
    <t>Description</t>
  </si>
  <si>
    <t>Base Quantity</t>
  </si>
  <si>
    <t>Unit Price</t>
  </si>
  <si>
    <t>Expected Revenue</t>
  </si>
  <si>
    <t>$A$266</t>
  </si>
  <si>
    <t>Base Case</t>
  </si>
  <si>
    <t>Best Case</t>
  </si>
  <si>
    <t>Worst Case</t>
  </si>
  <si>
    <t>Scenario Summary</t>
  </si>
  <si>
    <t>Changing Cells:</t>
  </si>
  <si>
    <t>Current Values:</t>
  </si>
  <si>
    <t>Result Cells:</t>
  </si>
  <si>
    <t>Notes:  Current Values column represents values of changing cells at</t>
  </si>
  <si>
    <t>time Scenario Summary Report was created.  Changing cells for each</t>
  </si>
  <si>
    <t>scenario are highlighted in gray.</t>
  </si>
  <si>
    <t>Worst  Case</t>
  </si>
  <si>
    <t>$C$262</t>
  </si>
  <si>
    <t>$C$263</t>
  </si>
  <si>
    <t>$D$262</t>
  </si>
  <si>
    <t>$D$263</t>
  </si>
  <si>
    <t>Created by ASUS on 28-10-2026
Modified by ASUS on 28-10-2026</t>
  </si>
  <si>
    <t>Row Labels</t>
  </si>
  <si>
    <t>SUMMARY OUTPUT</t>
  </si>
  <si>
    <t>Regression Statistics</t>
  </si>
  <si>
    <t>Multiple R</t>
  </si>
  <si>
    <t>R Square</t>
  </si>
  <si>
    <t>Adjusted R Square</t>
  </si>
  <si>
    <t>Standard Error</t>
  </si>
  <si>
    <t>Observations</t>
  </si>
  <si>
    <t>ANOVA</t>
  </si>
  <si>
    <t>Regression</t>
  </si>
  <si>
    <t>Residual</t>
  </si>
  <si>
    <t>Total</t>
  </si>
  <si>
    <t>Intercept</t>
  </si>
  <si>
    <t>df</t>
  </si>
  <si>
    <t>SS</t>
  </si>
  <si>
    <t>MS</t>
  </si>
  <si>
    <t>F</t>
  </si>
  <si>
    <t>Significance F</t>
  </si>
  <si>
    <t>Coefficients</t>
  </si>
  <si>
    <t>t Stat</t>
  </si>
  <si>
    <t>P-value</t>
  </si>
  <si>
    <t>Lower 95%</t>
  </si>
  <si>
    <t>Upper 95%</t>
  </si>
  <si>
    <t>Lower 95.0%</t>
  </si>
  <si>
    <t>Upper 95.0%</t>
  </si>
  <si>
    <t>Total_Spending</t>
  </si>
  <si>
    <t>Transaction_Count</t>
  </si>
  <si>
    <t>Total_Quantity</t>
  </si>
  <si>
    <t>Average_Transaction</t>
  </si>
  <si>
    <t>Customer_Rank</t>
  </si>
  <si>
    <t>Customer_Category</t>
  </si>
  <si>
    <t>Total_Units_Sold</t>
  </si>
  <si>
    <t>Total_Revenue</t>
  </si>
  <si>
    <t>Name Frequency</t>
  </si>
  <si>
    <t>Product List 1</t>
  </si>
  <si>
    <t>Mobile</t>
  </si>
  <si>
    <t>Mouse</t>
  </si>
  <si>
    <t>Printer</t>
  </si>
  <si>
    <t>Product List 2</t>
  </si>
  <si>
    <t>Webcam</t>
  </si>
  <si>
    <t>Comparison Result</t>
  </si>
  <si>
    <t>List 2 Comparison</t>
  </si>
  <si>
    <t>Create Abbreviations</t>
  </si>
  <si>
    <t>Full Name</t>
  </si>
  <si>
    <t>Abbreviation</t>
  </si>
  <si>
    <t>Home Appliances</t>
  </si>
  <si>
    <t>Personal Care</t>
  </si>
  <si>
    <t>Office Supplies</t>
  </si>
  <si>
    <t>Sports Equipment</t>
  </si>
  <si>
    <t>Mobile Accessories</t>
  </si>
  <si>
    <t>Grand Total</t>
  </si>
  <si>
    <t>Sum of Total_Amount</t>
  </si>
  <si>
    <t>Sum of Quantity</t>
  </si>
  <si>
    <t>2024</t>
  </si>
  <si>
    <t>2025</t>
  </si>
  <si>
    <t>Apr</t>
  </si>
  <si>
    <t>May</t>
  </si>
  <si>
    <t>Jun</t>
  </si>
  <si>
    <t>Jul</t>
  </si>
  <si>
    <t>Aug</t>
  </si>
  <si>
    <t>Sep</t>
  </si>
  <si>
    <t>Oct</t>
  </si>
  <si>
    <t>Nov</t>
  </si>
  <si>
    <t>Dec</t>
  </si>
  <si>
    <t>Jan</t>
  </si>
  <si>
    <t>Feb</t>
  </si>
  <si>
    <t>Mar</t>
  </si>
  <si>
    <t>DATA INTELLIGENCE DASHBOARD</t>
  </si>
  <si>
    <t>Customer Transaction Analysis | Revenue | Products | Regions | Customer Insights</t>
  </si>
  <si>
    <t>Total Revenue</t>
  </si>
  <si>
    <t>Total Transactions</t>
  </si>
  <si>
    <t>Unique Customers</t>
  </si>
  <si>
    <t>Total Units Sold</t>
  </si>
  <si>
    <t>Average Transaction Value</t>
  </si>
  <si>
    <t>Top-Selling Product</t>
  </si>
  <si>
    <t>RETAIL TRANSACTION DATA ANALYSIS — FINAL REPORT</t>
  </si>
  <si>
    <t>Project: Retail Transaction Dataset Analysis</t>
  </si>
  <si>
    <t>1. EXECUTIVE SUMMARY</t>
  </si>
  <si>
    <t xml:space="preserve">Report Date </t>
  </si>
  <si>
    <t>This project analyzes retail transaction data to understand sales performance, customer purchasing behavior, product demand, and regional performance. Excel functions, data analysis techniques, and visualizations are used to identify important business insights and support data-driven decision-making.</t>
  </si>
  <si>
    <t>2. KEY PERFORMANCE INDICATORS</t>
  </si>
  <si>
    <t>Unique Products</t>
  </si>
  <si>
    <t>3. PRODUCT PERFORMANCE ANALYSIS</t>
  </si>
  <si>
    <t>Highest Revenue Product</t>
  </si>
  <si>
    <t>Product Revenue</t>
  </si>
  <si>
    <t>4. CUSTOMER ANALYSIS</t>
  </si>
  <si>
    <t>Most Frequent Customer</t>
  </si>
  <si>
    <t>Highest Spending Customer</t>
  </si>
  <si>
    <t>Customer Frequency</t>
  </si>
  <si>
    <t>Highest Customer Spending</t>
  </si>
  <si>
    <t>5. REGIONAL PERFORMANCE</t>
  </si>
  <si>
    <t>Transaction Count</t>
  </si>
  <si>
    <t>6. KEY FINDINGS</t>
  </si>
  <si>
    <t>7. BUSINESS RECOMMENDATIONS</t>
  </si>
  <si>
    <t>The Retail Transaction Dataset Analysis project demonstrates how Microsoft Excel can be used to organize transaction data, calculate key performance indicators, compare product and customer performance, and summarize regional sales. The final report consolidates important metrics and findings to support better business understanding and informed decision-making.</t>
  </si>
  <si>
    <t>1.Total revenue and transaction volume summarize overall sales performance.</t>
  </si>
  <si>
    <t>2.Top-selling products indicate which items have the highest unit demand.</t>
  </si>
  <si>
    <t>3.Customer frequency analysis highlights customers who appear repeatedly in the transaction data.</t>
  </si>
  <si>
    <t>4.Customer spending analysis identifies customers contributing the highest recorded revenue.</t>
  </si>
  <si>
    <t>5.Regional performance comparison helps identify regions with stronger sales activity.</t>
  </si>
  <si>
    <t>1. Maintain sufficient inventory for products with high unit sales.</t>
  </si>
  <si>
    <t>2. Review low-performing products to understand their demand and pricing.</t>
  </si>
  <si>
    <t>4. Compare regional performance before planning marketing campaigns.</t>
  </si>
  <si>
    <t>3. Develop customer retention strategies for repeat customers.</t>
  </si>
  <si>
    <t>5. Monitor revenue and transaction metrics regularly to track changes in business performance.</t>
  </si>
  <si>
    <t>GOAL SEEK ANALYSIS</t>
  </si>
  <si>
    <t>Goal Seek is an Excel What-If Analysis tool used to determine the input value required to achieve a specific target result. In this project, Goal Seek calculates the quantity required to generate a target revenue of ₹20,000 when the unit price is ₹100. The required quantity is 200 units.</t>
  </si>
  <si>
    <t>9. CONCLUSION</t>
  </si>
  <si>
    <t>8.GOAL SEAK ANALYSIS</t>
  </si>
  <si>
    <t>10.Data Storytelling – Retail Transaction Analysis</t>
  </si>
  <si>
    <t>1. Business Problem</t>
  </si>
  <si>
    <t>2. Sales Performance</t>
  </si>
  <si>
    <t>3. Customer Behavior</t>
  </si>
  <si>
    <t>4. Regional Performance</t>
  </si>
  <si>
    <t>5. Business Recommendations</t>
  </si>
  <si>
    <t>The purpose of this project is to analyze retail transaction data to understand sales performance, customer purchasing behavior, product demand, and regional revenue. The analysis helps identify important business patterns and supports better data-driven decision-making.</t>
  </si>
  <si>
    <t>The sales performance analysis helps identify the products contributing most to overall sales. By comparing product revenue, units sold, and category performance, the business can understand which products are performing well and where further improvement may be required.</t>
  </si>
  <si>
    <t>Customer analysis provides insights into purchasing patterns, customer segments, and payment preferences. Understanding these patterns can help the business improve customer engagement, create targeted promotions, and develop strategies to encourage repeat purchases.</t>
  </si>
  <si>
    <t>The regional performance analysis compares revenue and transaction activity across Central, East, North, South, and West. This comparison helps identify strong-performing regions and areas where additional marketing or sales improvement strategies may be beneficial.</t>
  </si>
  <si>
    <t>1. Focus on products that generate strong sales and revenue.</t>
  </si>
  <si>
    <t>2. Analyze customer purchasing patterns to improve customer retention.</t>
  </si>
  <si>
    <t>3. Develop targeted marketing strategies for different customer segments.</t>
  </si>
  <si>
    <t>4. Investigate regions with comparatively low revenue to identify improvement opportunities.</t>
  </si>
  <si>
    <t>5. Use Excel dashboards, charts, and KPIs to monitor business performance regularly.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</si>
</sst>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 #,##0.00"/>
    <numFmt numFmtId="165" formatCode="dd/mm/yyyy\ hh:mm:ss"/>
  </numFmts>
  <fonts count="29">
    <font>
      <sz val="11"/>
      <color theme="1"/>
      <name val="Times New Roman"/>
      <family val="2"/>
    </font>
    <font>
      <b/>
      <sz val="11"/>
      <color theme="1"/>
      <name val="Times New Roman"/>
      <family val="2"/>
    </font>
    <font>
      <b/>
      <sz val="11"/>
      <color theme="1"/>
      <name val="Calibri"/>
      <family val="2"/>
    </font>
    <font>
      <sz val="11"/>
      <color theme="1"/>
      <name val="Calibri"/>
      <family val="2"/>
    </font>
    <font>
      <b/>
      <sz val="11"/>
      <color theme="1"/>
      <name val="Times New Roman"/>
      <family val="1"/>
    </font>
    <font>
      <b/>
      <sz val="18"/>
      <color theme="1"/>
      <name val="Times New Roman"/>
      <family val="1"/>
    </font>
    <font>
      <b/>
      <sz val="16"/>
      <color theme="1"/>
      <name val="Times New Roman"/>
      <family val="1"/>
    </font>
    <font>
      <b/>
      <sz val="14"/>
      <color theme="1"/>
      <name val="Times New Roman"/>
      <family val="1"/>
    </font>
    <font>
      <b/>
      <sz val="22"/>
      <color theme="1"/>
      <name val="Times New Roman"/>
      <family val="1"/>
    </font>
    <font>
      <b/>
      <sz val="10"/>
      <color theme="1"/>
      <name val="Arial Unicode MS"/>
    </font>
    <font>
      <sz val="8"/>
      <name val="Times New Roman"/>
      <family val="2"/>
    </font>
    <font>
      <b/>
      <sz val="12"/>
      <color indexed="9"/>
      <name val="Times New Roman"/>
      <family val="2"/>
    </font>
    <font>
      <b/>
      <sz val="11"/>
      <color indexed="8"/>
      <name val="Times New Roman"/>
      <family val="2"/>
    </font>
    <font>
      <b/>
      <sz val="11"/>
      <color indexed="18"/>
      <name val="Times New Roman"/>
      <family val="2"/>
    </font>
    <font>
      <sz val="10"/>
      <color indexed="9"/>
      <name val="Times New Roman"/>
      <family val="2"/>
    </font>
    <font>
      <sz val="8"/>
      <color theme="1"/>
      <name val="Times New Roman"/>
      <family val="1"/>
    </font>
    <font>
      <i/>
      <sz val="11"/>
      <color theme="1"/>
      <name val="Times New Roman"/>
      <family val="2"/>
    </font>
    <font>
      <sz val="14"/>
      <color theme="1"/>
      <name val="Times New Roman"/>
      <family val="2"/>
    </font>
    <font>
      <sz val="16"/>
      <color theme="1"/>
      <name val="Times New Roman"/>
      <family val="2"/>
    </font>
    <font>
      <b/>
      <sz val="24"/>
      <color theme="1"/>
      <name val="Times New Roman"/>
      <family val="1"/>
    </font>
    <font>
      <b/>
      <sz val="12"/>
      <color theme="1"/>
      <name val="Times New Roman"/>
      <family val="1"/>
    </font>
    <font>
      <sz val="11"/>
      <color rgb="FF000000"/>
      <name val="Times New Roman"/>
      <family val="2"/>
    </font>
    <font>
      <sz val="22"/>
      <color rgb="FF000000"/>
      <name val="Times New Roman"/>
      <family val="2"/>
    </font>
    <font>
      <sz val="14"/>
      <color rgb="FF000000"/>
      <name val="Times New Roman"/>
      <family val="2"/>
    </font>
    <font>
      <sz val="11"/>
      <color theme="1"/>
      <name val="Bold font"/>
    </font>
    <font>
      <sz val="12"/>
      <color theme="1"/>
      <name val="Times New Roman"/>
      <family val="2"/>
    </font>
    <font>
      <sz val="10"/>
      <color theme="1"/>
      <name val="Arial Unicode MS"/>
    </font>
    <font>
      <sz val="12"/>
      <color theme="1"/>
      <name val="Times New Roman"/>
      <family val="1"/>
    </font>
    <font>
      <b/>
      <sz val="20"/>
      <color theme="1"/>
      <name val="Times New Roman"/>
      <family val="1"/>
    </font>
  </fonts>
  <fills count="11">
    <fill>
      <patternFill patternType="none"/>
    </fill>
    <fill>
      <patternFill patternType="gray125"/>
    </fill>
    <fill>
      <patternFill patternType="solid">
        <fgColor indexed="20"/>
        <bgColor indexed="24"/>
      </patternFill>
    </fill>
    <fill>
      <patternFill patternType="solid">
        <fgColor indexed="22"/>
        <bgColor indexed="24"/>
      </patternFill>
    </fill>
    <fill>
      <patternFill patternType="solid">
        <fgColor indexed="22"/>
        <bgColor indexed="7"/>
      </patternFill>
    </fill>
    <fill>
      <patternFill patternType="solid">
        <fgColor theme="3" tint="0.79998168889431442"/>
        <bgColor indexed="64"/>
      </patternFill>
    </fill>
    <fill>
      <patternFill patternType="solid">
        <fgColor theme="4" tint="0.59999389629810485"/>
        <bgColor indexed="64"/>
      </patternFill>
    </fill>
    <fill>
      <patternFill patternType="solid">
        <fgColor theme="0"/>
        <bgColor indexed="64"/>
      </patternFill>
    </fill>
    <fill>
      <patternFill patternType="solid">
        <fgColor rgb="FFB4C6E7"/>
        <bgColor rgb="FF000000"/>
      </patternFill>
    </fill>
    <fill>
      <patternFill patternType="solid">
        <fgColor theme="3" tint="0.39997558519241921"/>
        <bgColor indexed="64"/>
      </patternFill>
    </fill>
    <fill>
      <patternFill patternType="solid">
        <fgColor theme="3" tint="0.59999389629810485"/>
        <bgColor indexed="64"/>
      </patternFill>
    </fill>
  </fills>
  <borders count="16">
    <border>
      <left/>
      <right/>
      <top/>
      <bottom/>
      <diagonal/>
    </border>
    <border>
      <left style="medium">
        <color rgb="FFCCCCCC"/>
      </left>
      <right style="medium">
        <color rgb="FFCCCCCC"/>
      </right>
      <top style="medium">
        <color rgb="FFCCCCCC"/>
      </top>
      <bottom style="medium">
        <color rgb="FFCCCCCC"/>
      </bottom>
      <diagonal/>
    </border>
    <border>
      <left/>
      <right style="medium">
        <color rgb="FFCCCCCC"/>
      </right>
      <top style="medium">
        <color rgb="FFCCCCCC"/>
      </top>
      <bottom style="medium">
        <color rgb="FFCCCCCC"/>
      </bottom>
      <diagonal/>
    </border>
    <border>
      <left style="medium">
        <color rgb="FFCCCCCC"/>
      </left>
      <right/>
      <top style="medium">
        <color rgb="FFCCCCCC"/>
      </top>
      <bottom style="medium">
        <color rgb="FFCCCCCC"/>
      </bottom>
      <diagonal/>
    </border>
    <border>
      <left/>
      <right style="medium">
        <color rgb="FFCCCCCC"/>
      </right>
      <top/>
      <bottom style="medium">
        <color rgb="FFCCCCCC"/>
      </bottom>
      <diagonal/>
    </border>
    <border>
      <left style="medium">
        <color rgb="FFCCCCCC"/>
      </left>
      <right style="medium">
        <color rgb="FFCCCCCC"/>
      </right>
      <top/>
      <bottom style="medium">
        <color rgb="FFCCCCCC"/>
      </bottom>
      <diagonal/>
    </border>
    <border>
      <left style="medium">
        <color rgb="FFCCCCCC"/>
      </left>
      <right/>
      <top/>
      <bottom style="medium">
        <color rgb="FFCCCCCC"/>
      </bottom>
      <diagonal/>
    </border>
    <border>
      <left/>
      <right style="medium">
        <color rgb="FFCCCCCC"/>
      </right>
      <top style="medium">
        <color rgb="FFCCCCCC"/>
      </top>
      <bottom/>
      <diagonal/>
    </border>
    <border>
      <left style="medium">
        <color rgb="FFCCCCCC"/>
      </left>
      <right style="medium">
        <color rgb="FFCCCCCC"/>
      </right>
      <top style="medium">
        <color rgb="FFCCCCCC"/>
      </top>
      <bottom/>
      <diagonal/>
    </border>
    <border>
      <left style="medium">
        <color rgb="FFCCCCCC"/>
      </left>
      <right/>
      <top style="medium">
        <color rgb="FFCCCCCC"/>
      </top>
      <bottom/>
      <diagonal/>
    </border>
    <border>
      <left/>
      <right/>
      <top style="medium">
        <color indexed="64"/>
      </top>
      <bottom/>
      <diagonal/>
    </border>
    <border>
      <left/>
      <right/>
      <top/>
      <bottom style="medium">
        <color indexed="64"/>
      </bottom>
      <diagonal/>
    </border>
    <border>
      <left/>
      <right/>
      <top/>
      <bottom style="thin">
        <color indexed="64"/>
      </bottom>
      <diagonal/>
    </border>
    <border>
      <left/>
      <right/>
      <top style="thin">
        <color indexed="64"/>
      </top>
      <bottom style="thin">
        <color indexed="64"/>
      </bottom>
      <diagonal/>
    </border>
    <border>
      <left/>
      <right/>
      <top style="medium">
        <color indexed="64"/>
      </top>
      <bottom style="thin">
        <color indexed="64"/>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98">
    <xf numFmtId="0" fontId="0" fillId="0" borderId="0" xfId="0"/>
    <xf numFmtId="14" fontId="0" fillId="0" borderId="0" xfId="0" applyNumberFormat="1"/>
    <xf numFmtId="0" fontId="3" fillId="0" borderId="1" xfId="0" applyFont="1" applyBorder="1" applyAlignment="1">
      <alignment horizontal="left" vertical="center" wrapText="1"/>
    </xf>
    <xf numFmtId="14" fontId="3" fillId="0" borderId="1" xfId="0" applyNumberFormat="1" applyFont="1" applyBorder="1" applyAlignment="1">
      <alignment horizontal="left" vertical="center" wrapText="1"/>
    </xf>
    <xf numFmtId="0" fontId="0" fillId="0" borderId="0" xfId="0" applyAlignment="1">
      <alignment vertical="center" wrapText="1"/>
    </xf>
    <xf numFmtId="0" fontId="3" fillId="0" borderId="2" xfId="0" applyFont="1" applyBorder="1" applyAlignment="1">
      <alignment horizontal="left" vertical="center" wrapText="1"/>
    </xf>
    <xf numFmtId="0" fontId="2" fillId="0" borderId="4" xfId="0" applyFont="1" applyBorder="1" applyAlignment="1">
      <alignment horizontal="left" vertical="center" wrapText="1"/>
    </xf>
    <xf numFmtId="0" fontId="2" fillId="0" borderId="5" xfId="0" applyFont="1" applyBorder="1" applyAlignment="1">
      <alignment horizontal="left" vertical="center" wrapText="1"/>
    </xf>
    <xf numFmtId="0" fontId="3" fillId="0" borderId="7" xfId="0" applyFont="1" applyBorder="1" applyAlignment="1">
      <alignment horizontal="left" vertical="center" wrapText="1"/>
    </xf>
    <xf numFmtId="14" fontId="3" fillId="0" borderId="8" xfId="0" applyNumberFormat="1" applyFont="1" applyBorder="1" applyAlignment="1">
      <alignment horizontal="left" vertical="center" wrapText="1"/>
    </xf>
    <xf numFmtId="0" fontId="3" fillId="0" borderId="8" xfId="0" applyFont="1" applyBorder="1" applyAlignment="1">
      <alignment horizontal="left" vertical="center" wrapText="1"/>
    </xf>
    <xf numFmtId="14" fontId="2" fillId="0" borderId="5" xfId="0" applyNumberFormat="1" applyFont="1" applyBorder="1" applyAlignment="1">
      <alignment horizontal="left" vertical="center" wrapText="1"/>
    </xf>
    <xf numFmtId="164" fontId="2" fillId="0" borderId="5" xfId="0" applyNumberFormat="1" applyFont="1" applyBorder="1" applyAlignment="1">
      <alignment horizontal="left" vertical="center" wrapText="1"/>
    </xf>
    <xf numFmtId="164" fontId="3" fillId="0" borderId="1" xfId="0" applyNumberFormat="1" applyFont="1" applyBorder="1" applyAlignment="1">
      <alignment horizontal="left" vertical="center" wrapText="1"/>
    </xf>
    <xf numFmtId="164" fontId="3" fillId="0" borderId="8" xfId="0" applyNumberFormat="1" applyFont="1" applyBorder="1" applyAlignment="1">
      <alignment horizontal="left" vertical="center" wrapText="1"/>
    </xf>
    <xf numFmtId="164" fontId="0" fillId="0" borderId="0" xfId="0" applyNumberFormat="1"/>
    <xf numFmtId="164" fontId="2" fillId="0" borderId="6" xfId="0" applyNumberFormat="1" applyFont="1" applyBorder="1" applyAlignment="1">
      <alignment horizontal="left" vertical="center" wrapText="1"/>
    </xf>
    <xf numFmtId="164" fontId="3" fillId="0" borderId="3" xfId="0" applyNumberFormat="1" applyFont="1" applyBorder="1" applyAlignment="1">
      <alignment horizontal="left" vertical="center" wrapText="1"/>
    </xf>
    <xf numFmtId="164" fontId="3" fillId="0" borderId="9" xfId="0" applyNumberFormat="1" applyFont="1" applyBorder="1" applyAlignment="1">
      <alignment horizontal="left" vertical="center" wrapText="1"/>
    </xf>
    <xf numFmtId="2" fontId="2" fillId="0" borderId="5" xfId="0" applyNumberFormat="1" applyFont="1" applyBorder="1" applyAlignment="1">
      <alignment horizontal="left" vertical="center" wrapText="1"/>
    </xf>
    <xf numFmtId="2" fontId="3" fillId="0" borderId="1" xfId="0" applyNumberFormat="1" applyFont="1" applyBorder="1" applyAlignment="1">
      <alignment horizontal="left" vertical="center" wrapText="1"/>
    </xf>
    <xf numFmtId="2" fontId="3" fillId="0" borderId="8" xfId="0" applyNumberFormat="1" applyFont="1" applyBorder="1" applyAlignment="1">
      <alignment horizontal="left" vertical="center" wrapText="1"/>
    </xf>
    <xf numFmtId="2" fontId="0" fillId="0" borderId="0" xfId="0" applyNumberFormat="1"/>
    <xf numFmtId="0" fontId="4" fillId="0" borderId="0" xfId="0" applyFont="1"/>
    <xf numFmtId="165" fontId="0" fillId="0" borderId="0" xfId="0" applyNumberFormat="1"/>
    <xf numFmtId="0" fontId="4" fillId="0" borderId="0" xfId="0" applyFont="1" applyAlignment="1">
      <alignment horizontal="center"/>
    </xf>
    <xf numFmtId="0" fontId="9" fillId="0" borderId="0" xfId="0" applyFont="1"/>
    <xf numFmtId="165" fontId="3" fillId="0" borderId="5" xfId="0" applyNumberFormat="1" applyFont="1" applyBorder="1" applyAlignment="1">
      <alignment horizontal="left" vertical="center" wrapText="1"/>
    </xf>
    <xf numFmtId="0" fontId="3" fillId="0" borderId="0" xfId="0" applyFont="1" applyAlignment="1">
      <alignment horizontal="left" vertical="center" wrapText="1"/>
    </xf>
    <xf numFmtId="0" fontId="1" fillId="0" borderId="0" xfId="0" applyFont="1" applyAlignment="1">
      <alignment horizontal="center" vertical="center" wrapText="1"/>
    </xf>
    <xf numFmtId="0" fontId="0" fillId="0" borderId="11" xfId="0" applyBorder="1"/>
    <xf numFmtId="0" fontId="11" fillId="2" borderId="12" xfId="0" applyFont="1" applyFill="1" applyBorder="1" applyAlignment="1">
      <alignment horizontal="left"/>
    </xf>
    <xf numFmtId="0" fontId="11" fillId="2" borderId="10" xfId="0" applyFont="1" applyFill="1" applyBorder="1" applyAlignment="1">
      <alignment horizontal="left"/>
    </xf>
    <xf numFmtId="0" fontId="0" fillId="0" borderId="13" xfId="0" applyBorder="1"/>
    <xf numFmtId="0" fontId="12" fillId="3" borderId="0" xfId="0" applyFont="1" applyFill="1" applyAlignment="1">
      <alignment horizontal="left"/>
    </xf>
    <xf numFmtId="0" fontId="13" fillId="3" borderId="13" xfId="0" applyFont="1" applyFill="1" applyBorder="1" applyAlignment="1">
      <alignment horizontal="left"/>
    </xf>
    <xf numFmtId="0" fontId="12" fillId="3" borderId="11" xfId="0" applyFont="1" applyFill="1" applyBorder="1" applyAlignment="1">
      <alignment horizontal="left"/>
    </xf>
    <xf numFmtId="0" fontId="14" fillId="2" borderId="10" xfId="0" applyFont="1" applyFill="1" applyBorder="1" applyAlignment="1">
      <alignment horizontal="right"/>
    </xf>
    <xf numFmtId="0" fontId="14" fillId="2" borderId="12" xfId="0" applyFont="1" applyFill="1" applyBorder="1" applyAlignment="1">
      <alignment horizontal="right"/>
    </xf>
    <xf numFmtId="0" fontId="0" fillId="4" borderId="0" xfId="0" applyFill="1"/>
    <xf numFmtId="0" fontId="15" fillId="0" borderId="0" xfId="0" applyFont="1" applyAlignment="1">
      <alignment vertical="top" wrapText="1"/>
    </xf>
    <xf numFmtId="0" fontId="4" fillId="0" borderId="0" xfId="0" applyFont="1" applyAlignment="1">
      <alignment vertical="center" wrapText="1"/>
    </xf>
    <xf numFmtId="0" fontId="0" fillId="0" borderId="0" xfId="0" pivotButton="1"/>
    <xf numFmtId="0" fontId="0" fillId="0" borderId="0" xfId="0" applyAlignment="1">
      <alignment horizontal="left"/>
    </xf>
    <xf numFmtId="0" fontId="0" fillId="0" borderId="0" xfId="0" applyAlignment="1">
      <alignment horizontal="left" indent="1"/>
    </xf>
    <xf numFmtId="0" fontId="16" fillId="0" borderId="14" xfId="0" applyFont="1" applyBorder="1" applyAlignment="1">
      <alignment horizontal="center"/>
    </xf>
    <xf numFmtId="0" fontId="16" fillId="0" borderId="14" xfId="0" applyFont="1" applyBorder="1" applyAlignment="1">
      <alignment horizontal="centerContinuous"/>
    </xf>
    <xf numFmtId="0" fontId="4" fillId="5" borderId="0" xfId="0" applyFont="1" applyFill="1" applyAlignment="1">
      <alignment horizontal="center" vertical="center" wrapText="1"/>
    </xf>
    <xf numFmtId="0" fontId="4" fillId="5" borderId="15" xfId="0" applyFont="1" applyFill="1" applyBorder="1" applyAlignment="1">
      <alignment horizontal="center" vertical="center" wrapText="1"/>
    </xf>
    <xf numFmtId="0" fontId="4" fillId="5" borderId="0" xfId="0" applyFont="1" applyFill="1" applyAlignment="1">
      <alignment horizontal="center" vertical="center"/>
    </xf>
    <xf numFmtId="0" fontId="7" fillId="5" borderId="0" xfId="0" applyFont="1" applyFill="1"/>
    <xf numFmtId="0" fontId="17" fillId="0" borderId="0" xfId="0" applyFont="1" applyAlignment="1">
      <alignment horizontal="center" vertical="center"/>
    </xf>
    <xf numFmtId="0" fontId="0" fillId="0" borderId="0" xfId="0" applyAlignment="1">
      <alignment horizontal="center" vertical="center"/>
    </xf>
    <xf numFmtId="0" fontId="4" fillId="0" borderId="0" xfId="0" applyFont="1" applyAlignment="1">
      <alignment vertical="center"/>
    </xf>
    <xf numFmtId="0" fontId="6" fillId="7" borderId="0" xfId="0" applyFont="1" applyFill="1" applyAlignment="1">
      <alignment horizontal="center" vertical="center"/>
    </xf>
    <xf numFmtId="0" fontId="0" fillId="7" borderId="0" xfId="0" applyFill="1" applyAlignment="1">
      <alignment horizontal="center" vertical="center"/>
    </xf>
    <xf numFmtId="164" fontId="18" fillId="7" borderId="0" xfId="0" applyNumberFormat="1" applyFont="1" applyFill="1" applyAlignment="1">
      <alignment horizontal="center" vertical="center"/>
    </xf>
    <xf numFmtId="2" fontId="18" fillId="7" borderId="0" xfId="0" applyNumberFormat="1" applyFont="1" applyFill="1" applyAlignment="1">
      <alignment horizontal="center" vertical="center"/>
    </xf>
    <xf numFmtId="0" fontId="18" fillId="7" borderId="0" xfId="0" applyFont="1" applyFill="1" applyAlignment="1">
      <alignment horizontal="center" vertical="center"/>
    </xf>
    <xf numFmtId="0" fontId="22" fillId="8" borderId="0" xfId="0" applyFont="1" applyFill="1" applyAlignment="1">
      <alignment horizontal="center" vertical="center"/>
    </xf>
    <xf numFmtId="0" fontId="23" fillId="8" borderId="0" xfId="0" applyFont="1" applyFill="1" applyAlignment="1">
      <alignment horizontal="center" vertical="center"/>
    </xf>
    <xf numFmtId="0" fontId="21" fillId="8" borderId="0" xfId="0" applyFont="1" applyFill="1" applyAlignment="1">
      <alignment horizontal="center" vertical="center"/>
    </xf>
    <xf numFmtId="0" fontId="21" fillId="8" borderId="0" xfId="0" applyFont="1" applyFill="1" applyAlignment="1">
      <alignment horizontal="center"/>
    </xf>
    <xf numFmtId="0" fontId="21" fillId="8" borderId="0" xfId="0" applyFont="1" applyFill="1"/>
    <xf numFmtId="0" fontId="0" fillId="0" borderId="0" xfId="0" applyAlignment="1">
      <alignment horizontal="left" indent="5"/>
    </xf>
    <xf numFmtId="0" fontId="20" fillId="0" borderId="15" xfId="0" applyFont="1" applyBorder="1" applyAlignment="1">
      <alignment horizontal="left" vertical="center" wrapText="1"/>
    </xf>
    <xf numFmtId="0" fontId="20" fillId="0" borderId="15" xfId="0" applyFont="1" applyBorder="1" applyAlignment="1">
      <alignment vertical="center" wrapText="1"/>
    </xf>
    <xf numFmtId="14" fontId="4" fillId="0" borderId="0" xfId="0" applyNumberFormat="1" applyFont="1" applyAlignment="1">
      <alignment horizontal="center" vertical="center"/>
    </xf>
    <xf numFmtId="0" fontId="20" fillId="0" borderId="15" xfId="0" applyFont="1" applyBorder="1" applyAlignment="1">
      <alignment horizontal="center" vertical="center" wrapText="1"/>
    </xf>
    <xf numFmtId="0" fontId="0" fillId="0" borderId="15" xfId="0" applyBorder="1" applyAlignment="1">
      <alignment horizontal="center"/>
    </xf>
    <xf numFmtId="164" fontId="24" fillId="0" borderId="15" xfId="0" applyNumberFormat="1" applyFont="1" applyBorder="1" applyAlignment="1">
      <alignment horizontal="center" vertical="center"/>
    </xf>
    <xf numFmtId="0" fontId="24" fillId="0" borderId="15" xfId="0" applyFont="1" applyBorder="1" applyAlignment="1">
      <alignment horizontal="center" vertical="center"/>
    </xf>
    <xf numFmtId="0" fontId="25" fillId="0" borderId="0" xfId="0" applyFont="1" applyAlignment="1">
      <alignment wrapText="1"/>
    </xf>
    <xf numFmtId="0" fontId="25" fillId="0" borderId="0" xfId="0" applyFont="1"/>
    <xf numFmtId="0" fontId="25" fillId="0" borderId="0" xfId="0" applyFont="1" applyAlignment="1">
      <alignment horizontal="left" vertical="center" wrapText="1"/>
    </xf>
    <xf numFmtId="0" fontId="0" fillId="0" borderId="15" xfId="0" applyBorder="1" applyAlignment="1">
      <alignment vertical="center" wrapText="1"/>
    </xf>
    <xf numFmtId="0" fontId="0" fillId="0" borderId="15" xfId="0" applyBorder="1"/>
    <xf numFmtId="164" fontId="26" fillId="0" borderId="15" xfId="0" applyNumberFormat="1" applyFont="1" applyBorder="1" applyAlignment="1">
      <alignment vertical="center" wrapText="1"/>
    </xf>
    <xf numFmtId="0" fontId="4" fillId="0" borderId="15" xfId="0" applyFont="1" applyBorder="1" applyAlignment="1">
      <alignment vertical="center" wrapText="1"/>
    </xf>
    <xf numFmtId="0" fontId="25" fillId="0" borderId="0" xfId="0" applyFont="1" applyAlignment="1">
      <alignment horizontal="left" wrapText="1"/>
    </xf>
    <xf numFmtId="0" fontId="20" fillId="0" borderId="0" xfId="0" applyFont="1" applyAlignment="1">
      <alignment vertical="center" wrapText="1"/>
    </xf>
    <xf numFmtId="0" fontId="27" fillId="0" borderId="0" xfId="0" applyFont="1" applyAlignment="1">
      <alignment horizontal="left" vertical="center" wrapText="1"/>
    </xf>
    <xf numFmtId="0" fontId="27" fillId="0" borderId="0" xfId="0" applyFont="1"/>
    <xf numFmtId="0" fontId="25" fillId="0" borderId="0" xfId="0" applyFont="1" applyAlignment="1">
      <alignment horizontal="left" vertical="center" indent="1"/>
    </xf>
    <xf numFmtId="0" fontId="20" fillId="5" borderId="0" xfId="0" applyFont="1" applyFill="1" applyAlignment="1">
      <alignment horizontal="center" vertical="center"/>
    </xf>
    <xf numFmtId="0" fontId="20" fillId="5" borderId="0" xfId="0" applyFont="1" applyFill="1" applyAlignment="1">
      <alignment horizontal="center"/>
    </xf>
    <xf numFmtId="0" fontId="20" fillId="0" borderId="0" xfId="0" applyFont="1" applyAlignment="1">
      <alignment horizontal="center" vertical="center" wrapText="1"/>
    </xf>
    <xf numFmtId="0" fontId="4" fillId="0" borderId="15" xfId="0" applyFont="1" applyBorder="1" applyAlignment="1">
      <alignment horizontal="center" vertical="center" wrapText="1"/>
    </xf>
    <xf numFmtId="0" fontId="4" fillId="0" borderId="15" xfId="0" applyFont="1" applyBorder="1" applyAlignment="1">
      <alignment horizontal="center"/>
    </xf>
    <xf numFmtId="0" fontId="8" fillId="0" borderId="0" xfId="0" applyFont="1" applyAlignment="1">
      <alignment horizontal="center" vertical="center"/>
    </xf>
    <xf numFmtId="0" fontId="5" fillId="5" borderId="0" xfId="0" applyFont="1" applyFill="1" applyAlignment="1">
      <alignment horizontal="center" vertical="center"/>
    </xf>
    <xf numFmtId="0" fontId="6" fillId="5" borderId="0" xfId="0" applyFont="1" applyFill="1" applyAlignment="1">
      <alignment horizontal="center" vertical="center"/>
    </xf>
    <xf numFmtId="0" fontId="4" fillId="5" borderId="0" xfId="0" applyFont="1" applyFill="1" applyAlignment="1">
      <alignment horizontal="center" vertical="center"/>
    </xf>
    <xf numFmtId="0" fontId="7" fillId="0" borderId="0" xfId="0" applyFont="1" applyAlignment="1">
      <alignment horizontal="center"/>
    </xf>
    <xf numFmtId="0" fontId="19" fillId="6" borderId="0" xfId="0" applyFont="1" applyFill="1" applyAlignment="1">
      <alignment horizontal="center" vertical="center"/>
    </xf>
    <xf numFmtId="0" fontId="18" fillId="0" borderId="0" xfId="0" applyFont="1" applyAlignment="1">
      <alignment horizontal="center" vertical="center" wrapText="1"/>
    </xf>
    <xf numFmtId="0" fontId="28" fillId="9" borderId="0" xfId="0" applyFont="1" applyFill="1" applyAlignment="1">
      <alignment horizontal="center" vertical="center"/>
    </xf>
    <xf numFmtId="0" fontId="5" fillId="10" borderId="0" xfId="0" applyFont="1" applyFill="1" applyAlignment="1">
      <alignment horizontal="center" vertical="center"/>
    </xf>
  </cellXfs>
  <cellStyles count="1">
    <cellStyle name="Normal" xfId="0" builtinId="0"/>
  </cellStyles>
  <dxfs count="34">
    <dxf>
      <fill>
        <patternFill>
          <bgColor rgb="FFFFFF00"/>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Times New Roman"/>
        <family val="1"/>
        <scheme val="none"/>
      </font>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val="0"/>
        <i val="0"/>
        <strike val="0"/>
        <condense val="0"/>
        <extend val="0"/>
        <outline val="0"/>
        <shadow val="0"/>
        <u val="none"/>
        <vertAlign val="baseline"/>
        <sz val="11"/>
        <color theme="1"/>
        <name val="Calibri"/>
        <family val="2"/>
        <scheme val="none"/>
      </font>
      <numFmt numFmtId="0" formatCode="General"/>
      <alignment horizontal="left" vertical="center" textRotation="0" wrapText="1" indent="0" justifyLastLine="0" shrinkToFit="0" readingOrder="0"/>
    </dxf>
    <dxf>
      <font>
        <b val="0"/>
        <i val="0"/>
        <strike val="0"/>
        <condense val="0"/>
        <extend val="0"/>
        <outline val="0"/>
        <shadow val="0"/>
        <u val="none"/>
        <vertAlign val="baseline"/>
        <sz val="11"/>
        <color theme="1"/>
        <name val="Calibri"/>
        <family val="2"/>
        <scheme val="none"/>
      </font>
      <numFmt numFmtId="165" formatCode="dd/mm/yyyy\ hh:mm:ss"/>
      <alignment horizontal="left" vertical="center"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1"/>
        <color theme="1"/>
        <name val="Calibri"/>
        <family val="2"/>
        <scheme val="none"/>
      </font>
      <numFmt numFmtId="164" formatCode="&quot;₹&quot;\ #,##0.00"/>
      <alignment horizontal="left" vertical="center" textRotation="0" wrapText="1" indent="0" justifyLastLine="0" shrinkToFit="0" readingOrder="0"/>
      <border diagonalUp="0" diagonalDown="0" outline="0">
        <left style="medium">
          <color rgb="FFCCCCCC"/>
        </left>
        <right/>
        <top style="medium">
          <color rgb="FFCCCCCC"/>
        </top>
        <bottom style="medium">
          <color rgb="FFCCCCCC"/>
        </bottom>
      </border>
    </dxf>
    <dxf>
      <font>
        <b val="0"/>
        <i val="0"/>
        <strike val="0"/>
        <condense val="0"/>
        <extend val="0"/>
        <outline val="0"/>
        <shadow val="0"/>
        <u val="none"/>
        <vertAlign val="baseline"/>
        <sz val="11"/>
        <color theme="1"/>
        <name val="Calibri"/>
        <family val="2"/>
        <scheme val="none"/>
      </font>
      <numFmt numFmtId="19" formatCode="dd/mm/yyyy"/>
      <alignment horizontal="left" vertical="center"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1"/>
        <color theme="1"/>
        <name val="Calibri"/>
        <family val="2"/>
        <scheme val="none"/>
      </font>
      <alignment horizontal="left" vertical="center"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1"/>
        <color theme="1"/>
        <name val="Calibri"/>
        <family val="2"/>
        <scheme val="none"/>
      </font>
      <alignment horizontal="left" vertical="center"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1"/>
        <color theme="1"/>
        <name val="Calibri"/>
        <family val="2"/>
        <scheme val="none"/>
      </font>
      <alignment horizontal="left" vertical="center"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1"/>
        <color theme="1"/>
        <name val="Calibri"/>
        <family val="2"/>
        <scheme val="none"/>
      </font>
      <numFmt numFmtId="164" formatCode="&quot;₹&quot;\ #,##0.00"/>
      <alignment horizontal="left" vertical="center"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1"/>
        <color theme="1"/>
        <name val="Calibri"/>
        <family val="2"/>
        <scheme val="none"/>
      </font>
      <numFmt numFmtId="2" formatCode="0.00"/>
      <alignment horizontal="left" vertical="center"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1"/>
        <color theme="1"/>
        <name val="Calibri"/>
        <family val="2"/>
        <scheme val="none"/>
      </font>
      <alignment horizontal="left" vertical="center"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1"/>
        <color theme="1"/>
        <name val="Calibri"/>
        <family val="2"/>
        <scheme val="none"/>
      </font>
      <alignment horizontal="left" vertical="center"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1"/>
        <color theme="1"/>
        <name val="Calibri"/>
        <family val="2"/>
        <scheme val="none"/>
      </font>
      <alignment horizontal="left" vertical="center"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1"/>
        <color theme="1"/>
        <name val="Calibri"/>
        <family val="2"/>
        <scheme val="none"/>
      </font>
      <alignment horizontal="left" vertical="center"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1"/>
        <color theme="1"/>
        <name val="Calibri"/>
        <family val="2"/>
        <scheme val="none"/>
      </font>
      <alignment horizontal="left" vertical="center"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1"/>
        <color theme="1"/>
        <name val="Calibri"/>
        <family val="2"/>
        <scheme val="none"/>
      </font>
      <numFmt numFmtId="19" formatCode="dd/mm/yyyy"/>
      <alignment horizontal="left" vertical="center"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1"/>
        <color theme="1"/>
        <name val="Calibri"/>
        <family val="2"/>
        <scheme val="none"/>
      </font>
      <alignment horizontal="left" vertical="center" textRotation="0" wrapText="1" indent="0" justifyLastLine="0" shrinkToFit="0" readingOrder="0"/>
      <border diagonalUp="0" diagonalDown="0">
        <left/>
        <right style="medium">
          <color rgb="FFCCCCCC"/>
        </right>
        <top style="medium">
          <color rgb="FFCCCCCC"/>
        </top>
        <bottom style="medium">
          <color rgb="FFCCCCCC"/>
        </bottom>
        <vertical/>
        <horizontal/>
      </border>
    </dxf>
    <dxf>
      <border outline="0">
        <top style="medium">
          <color rgb="FFCCCCCC"/>
        </top>
      </border>
    </dxf>
    <dxf>
      <border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1"/>
        <color theme="1"/>
        <name val="Calibri"/>
        <family val="2"/>
        <scheme val="none"/>
      </font>
      <alignment horizontal="left" vertical="center" textRotation="0" wrapText="1" indent="0" justifyLastLine="0" shrinkToFit="0" readingOrder="0"/>
    </dxf>
    <dxf>
      <border outline="0">
        <bottom style="medium">
          <color rgb="FFCCCCCC"/>
        </bottom>
      </border>
    </dxf>
    <dxf>
      <font>
        <b/>
        <i val="0"/>
        <strike val="0"/>
        <condense val="0"/>
        <extend val="0"/>
        <outline val="0"/>
        <shadow val="0"/>
        <u val="none"/>
        <vertAlign val="baseline"/>
        <sz val="11"/>
        <color theme="1"/>
        <name val="Calibri"/>
        <family val="2"/>
        <scheme val="none"/>
      </font>
      <alignment horizontal="left" vertical="center" textRotation="0" wrapText="1" indent="0" justifyLastLine="0" shrinkToFit="0" readingOrder="0"/>
      <border diagonalUp="0" diagonalDown="0" outline="0">
        <left style="medium">
          <color rgb="FFCCCCCC"/>
        </left>
        <right style="medium">
          <color rgb="FFCCCCCC"/>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11/relationships/timelineCache" Target="timelineCaches/timelineCache1.xml"/><Relationship Id="rId20"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microsoft.com/office/2007/relationships/slicerCache" Target="slicerCaches/slicerCache4.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[Final_Project_Excel.xlsx]Visualizations!PivotTable3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Revenue by Region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Visualizations!$E$21</c:f>
              <c:strCache>
                <c:ptCount val="1"/>
                <c:pt idx="0">
                  <c:v>Total</c:v>
                </c:pt>
              </c:strCache>
            </c:strRef>
          </c:tx>
          <c:spPr>
            <a:solidFill>
              <a:schemeClr val="accent1"/>
            </a:solidFill>
            <a:ln>
              <a:noFill/>
            </a:ln>
            <a:effectLst/>
          </c:spPr>
          <c:invertIfNegative val="0"/>
          <c:cat>
            <c:strRef>
              <c:f>Visualizations!$D$22:$D$27</c:f>
              <c:strCache>
                <c:ptCount val="5"/>
                <c:pt idx="0">
                  <c:v>Central</c:v>
                </c:pt>
                <c:pt idx="1">
                  <c:v>East</c:v>
                </c:pt>
                <c:pt idx="2">
                  <c:v>North</c:v>
                </c:pt>
                <c:pt idx="3">
                  <c:v>South</c:v>
                </c:pt>
                <c:pt idx="4">
                  <c:v>West</c:v>
                </c:pt>
              </c:strCache>
            </c:strRef>
          </c:cat>
          <c:val>
            <c:numRef>
              <c:f>Visualizations!$E$22:$E$27</c:f>
              <c:numCache>
                <c:formatCode>"₹"\ #,##0.00</c:formatCode>
                <c:ptCount val="5"/>
                <c:pt idx="0">
                  <c:v>41288.340000000018</c:v>
                </c:pt>
                <c:pt idx="1">
                  <c:v>59288.389999999992</c:v>
                </c:pt>
                <c:pt idx="2">
                  <c:v>50808.310000000012</c:v>
                </c:pt>
                <c:pt idx="3">
                  <c:v>36398.750000000007</c:v>
                </c:pt>
                <c:pt idx="4">
                  <c:v>41408.680000000015</c:v>
                </c:pt>
              </c:numCache>
            </c:numRef>
          </c:val>
          <c:extLst>
            <c:ext xmlns:c16="http://schemas.microsoft.com/office/drawing/2014/chart" uri="{C3380CC4-5D6E-409C-BE32-E72D297353CC}">
              <c16:uniqueId val="{00000000-83AA-45A5-A5E6-6A5E4E083A17}"/>
            </c:ext>
          </c:extLst>
        </c:ser>
        <c:dLbls>
          <c:showLegendKey val="0"/>
          <c:showVal val="0"/>
          <c:showCatName val="0"/>
          <c:showSerName val="0"/>
          <c:showPercent val="0"/>
          <c:showBubbleSize val="0"/>
        </c:dLbls>
        <c:gapWidth val="182"/>
        <c:axId val="709453840"/>
        <c:axId val="709458520"/>
      </c:barChart>
      <c:catAx>
        <c:axId val="70945384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Region</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9458520"/>
        <c:crosses val="autoZero"/>
        <c:auto val="1"/>
        <c:lblAlgn val="ctr"/>
        <c:lblOffset val="100"/>
        <c:noMultiLvlLbl val="0"/>
      </c:catAx>
      <c:valAx>
        <c:axId val="70945852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Total_Amount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94538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[Final_Project_Excel.xlsx]Visualizations!PivotTable6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Monthly Revenue Trend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Visualizations!$E$2</c:f>
              <c:strCache>
                <c:ptCount val="1"/>
                <c:pt idx="0">
                  <c:v>Total</c:v>
                </c:pt>
              </c:strCache>
            </c:strRef>
          </c:tx>
          <c:spPr>
            <a:ln w="28575" cap="rnd">
              <a:solidFill>
                <a:schemeClr val="accent1"/>
              </a:solidFill>
              <a:round/>
            </a:ln>
            <a:effectLst/>
          </c:spPr>
          <c:marker>
            <c:symbol val="none"/>
          </c:marker>
          <c:cat>
            <c:multiLvlStrRef>
              <c:f>Visualizations!$D$3:$D$18</c:f>
              <c:multiLvlStrCache>
                <c:ptCount val="13"/>
                <c:lvl>
                  <c:pt idx="0">
                    <c:v>Apr</c:v>
                  </c:pt>
                  <c:pt idx="1">
                    <c:v>May</c:v>
                  </c:pt>
                  <c:pt idx="2">
                    <c:v>Jun</c:v>
                  </c:pt>
                  <c:pt idx="3">
                    <c:v>Jul</c:v>
                  </c:pt>
                  <c:pt idx="4">
                    <c:v>Aug</c:v>
                  </c:pt>
                  <c:pt idx="5">
                    <c:v>Sep</c:v>
                  </c:pt>
                  <c:pt idx="6">
                    <c:v>Oct</c:v>
                  </c:pt>
                  <c:pt idx="7">
                    <c:v>Nov</c:v>
                  </c:pt>
                  <c:pt idx="8">
                    <c:v>Dec</c:v>
                  </c:pt>
                  <c:pt idx="9">
                    <c:v>Jan</c:v>
                  </c:pt>
                  <c:pt idx="10">
                    <c:v>Feb</c:v>
                  </c:pt>
                  <c:pt idx="11">
                    <c:v>Mar</c:v>
                  </c:pt>
                  <c:pt idx="12">
                    <c:v>Apr</c:v>
                  </c:pt>
                </c:lvl>
                <c:lvl>
                  <c:pt idx="0">
                    <c:v>2024</c:v>
                  </c:pt>
                  <c:pt idx="9">
                    <c:v>2025</c:v>
                  </c:pt>
                </c:lvl>
              </c:multiLvlStrCache>
            </c:multiLvlStrRef>
          </c:cat>
          <c:val>
            <c:numRef>
              <c:f>Visualizations!$E$3:$E$18</c:f>
              <c:numCache>
                <c:formatCode>"₹"\ #,##0.00</c:formatCode>
                <c:ptCount val="13"/>
                <c:pt idx="0">
                  <c:v>20919.330000000002</c:v>
                </c:pt>
                <c:pt idx="1">
                  <c:v>17039.349999999999</c:v>
                </c:pt>
                <c:pt idx="2">
                  <c:v>19299.45</c:v>
                </c:pt>
                <c:pt idx="3">
                  <c:v>18479.399999999994</c:v>
                </c:pt>
                <c:pt idx="4">
                  <c:v>15759.429999999997</c:v>
                </c:pt>
                <c:pt idx="5">
                  <c:v>12989.509999999997</c:v>
                </c:pt>
                <c:pt idx="6">
                  <c:v>20609.52</c:v>
                </c:pt>
                <c:pt idx="7">
                  <c:v>12309.439999999999</c:v>
                </c:pt>
                <c:pt idx="8">
                  <c:v>23039.3</c:v>
                </c:pt>
                <c:pt idx="9">
                  <c:v>25799.15</c:v>
                </c:pt>
                <c:pt idx="10">
                  <c:v>16069.379999999997</c:v>
                </c:pt>
                <c:pt idx="11">
                  <c:v>19899.379999999997</c:v>
                </c:pt>
                <c:pt idx="12">
                  <c:v>6979.829999999999</c:v>
                </c:pt>
              </c:numCache>
            </c:numRef>
          </c:val>
          <c:smooth val="0"/>
          <c:extLst>
            <c:ext xmlns:c16="http://schemas.microsoft.com/office/drawing/2014/chart" uri="{C3380CC4-5D6E-409C-BE32-E72D297353CC}">
              <c16:uniqueId val="{00000000-B04C-4F06-99F1-23EC4A64D40B}"/>
            </c:ext>
          </c:extLst>
        </c:ser>
        <c:dLbls>
          <c:showLegendKey val="0"/>
          <c:showVal val="0"/>
          <c:showCatName val="0"/>
          <c:showSerName val="0"/>
          <c:showPercent val="0"/>
          <c:showBubbleSize val="0"/>
        </c:dLbls>
        <c:smooth val="0"/>
        <c:axId val="709470760"/>
        <c:axId val="709472560"/>
      </c:lineChart>
      <c:catAx>
        <c:axId val="70947076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Month</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9472560"/>
        <c:crosses val="autoZero"/>
        <c:auto val="1"/>
        <c:lblAlgn val="ctr"/>
        <c:lblOffset val="100"/>
        <c:noMultiLvlLbl val="0"/>
      </c:catAx>
      <c:valAx>
        <c:axId val="70947256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Total</a:t>
                </a:r>
                <a:r>
                  <a:rPr lang="en-IN" baseline="0"/>
                  <a:t> Amount</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94707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[Final_Project_Excel.xlsx]Visualizations!PivotTable5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Revenue by Category</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Visualizations!$H$16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EEF-4A77-B9C2-95952B1FC51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EEF-4A77-B9C2-95952B1FC51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EEF-4A77-B9C2-95952B1FC51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Visualizations!$G$17:$G$20</c:f>
              <c:strCache>
                <c:ptCount val="3"/>
                <c:pt idx="0">
                  <c:v>Appliances</c:v>
                </c:pt>
                <c:pt idx="1">
                  <c:v>Electronics</c:v>
                </c:pt>
                <c:pt idx="2">
                  <c:v>Furniture</c:v>
                </c:pt>
              </c:strCache>
            </c:strRef>
          </c:cat>
          <c:val>
            <c:numRef>
              <c:f>Visualizations!$H$17:$H$20</c:f>
              <c:numCache>
                <c:formatCode>"₹"\ #,##0.00</c:formatCode>
                <c:ptCount val="3"/>
                <c:pt idx="0">
                  <c:v>8338.7399999999961</c:v>
                </c:pt>
                <c:pt idx="1">
                  <c:v>171756.05000000013</c:v>
                </c:pt>
                <c:pt idx="2">
                  <c:v>49097.680000000015</c:v>
                </c:pt>
              </c:numCache>
            </c:numRef>
          </c:val>
          <c:extLst>
            <c:ext xmlns:c16="http://schemas.microsoft.com/office/drawing/2014/chart" uri="{C3380CC4-5D6E-409C-BE32-E72D297353CC}">
              <c16:uniqueId val="{00000000-386A-40BC-B0C7-4F485B3DCBDC}"/>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[Final_Project_Excel.xlsx]Visualizations!PivotTable3</c:name>
    <c:fmtId val="3"/>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a:t>Revenue by Region</a:t>
            </a:r>
            <a:endParaRPr lang="en-US"/>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Visualizations!$E$21</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Visualizations!$D$22:$D$27</c:f>
              <c:strCache>
                <c:ptCount val="5"/>
                <c:pt idx="0">
                  <c:v>Central</c:v>
                </c:pt>
                <c:pt idx="1">
                  <c:v>East</c:v>
                </c:pt>
                <c:pt idx="2">
                  <c:v>North</c:v>
                </c:pt>
                <c:pt idx="3">
                  <c:v>South</c:v>
                </c:pt>
                <c:pt idx="4">
                  <c:v>West</c:v>
                </c:pt>
              </c:strCache>
            </c:strRef>
          </c:cat>
          <c:val>
            <c:numRef>
              <c:f>Visualizations!$E$22:$E$27</c:f>
              <c:numCache>
                <c:formatCode>"₹"\ #,##0.00</c:formatCode>
                <c:ptCount val="5"/>
                <c:pt idx="0">
                  <c:v>41288.340000000018</c:v>
                </c:pt>
                <c:pt idx="1">
                  <c:v>59288.389999999992</c:v>
                </c:pt>
                <c:pt idx="2">
                  <c:v>50808.310000000012</c:v>
                </c:pt>
                <c:pt idx="3">
                  <c:v>36398.750000000007</c:v>
                </c:pt>
                <c:pt idx="4">
                  <c:v>41408.680000000015</c:v>
                </c:pt>
              </c:numCache>
            </c:numRef>
          </c:val>
          <c:extLst>
            <c:ext xmlns:c16="http://schemas.microsoft.com/office/drawing/2014/chart" uri="{C3380CC4-5D6E-409C-BE32-E72D297353CC}">
              <c16:uniqueId val="{00000000-2A90-408E-8ECD-86240245DDBA}"/>
            </c:ext>
          </c:extLst>
        </c:ser>
        <c:dLbls>
          <c:showLegendKey val="0"/>
          <c:showVal val="0"/>
          <c:showCatName val="0"/>
          <c:showSerName val="0"/>
          <c:showPercent val="0"/>
          <c:showBubbleSize val="0"/>
        </c:dLbls>
        <c:gapWidth val="182"/>
        <c:overlap val="-50"/>
        <c:axId val="709453840"/>
        <c:axId val="709458520"/>
      </c:barChart>
      <c:catAx>
        <c:axId val="709453840"/>
        <c:scaling>
          <c:orientation val="minMax"/>
        </c:scaling>
        <c:delete val="0"/>
        <c:axPos val="l"/>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title>
          <c:tx>
            <c:rich>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IN"/>
                  <a:t>Region</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709458520"/>
        <c:crosses val="autoZero"/>
        <c:auto val="1"/>
        <c:lblAlgn val="ctr"/>
        <c:lblOffset val="100"/>
        <c:noMultiLvlLbl val="0"/>
      </c:catAx>
      <c:valAx>
        <c:axId val="709458520"/>
        <c:scaling>
          <c:orientation val="minMax"/>
        </c:scaling>
        <c:delete val="0"/>
        <c:axPos val="b"/>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title>
          <c:tx>
            <c:rich>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IN"/>
                  <a:t>Total_Amount</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7094538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[Final_Project_Excel.xlsx]Visualizations!PivotTable6</c:name>
    <c:fmtId val="3"/>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Monthly Revenue Trend</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Visualizations!$E$2</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multiLvlStrRef>
              <c:f>Visualizations!$D$3:$D$18</c:f>
              <c:multiLvlStrCache>
                <c:ptCount val="13"/>
                <c:lvl>
                  <c:pt idx="0">
                    <c:v>Apr</c:v>
                  </c:pt>
                  <c:pt idx="1">
                    <c:v>May</c:v>
                  </c:pt>
                  <c:pt idx="2">
                    <c:v>Jun</c:v>
                  </c:pt>
                  <c:pt idx="3">
                    <c:v>Jul</c:v>
                  </c:pt>
                  <c:pt idx="4">
                    <c:v>Aug</c:v>
                  </c:pt>
                  <c:pt idx="5">
                    <c:v>Sep</c:v>
                  </c:pt>
                  <c:pt idx="6">
                    <c:v>Oct</c:v>
                  </c:pt>
                  <c:pt idx="7">
                    <c:v>Nov</c:v>
                  </c:pt>
                  <c:pt idx="8">
                    <c:v>Dec</c:v>
                  </c:pt>
                  <c:pt idx="9">
                    <c:v>Jan</c:v>
                  </c:pt>
                  <c:pt idx="10">
                    <c:v>Feb</c:v>
                  </c:pt>
                  <c:pt idx="11">
                    <c:v>Mar</c:v>
                  </c:pt>
                  <c:pt idx="12">
                    <c:v>Apr</c:v>
                  </c:pt>
                </c:lvl>
                <c:lvl>
                  <c:pt idx="0">
                    <c:v>2024</c:v>
                  </c:pt>
                  <c:pt idx="9">
                    <c:v>2025</c:v>
                  </c:pt>
                </c:lvl>
              </c:multiLvlStrCache>
            </c:multiLvlStrRef>
          </c:cat>
          <c:val>
            <c:numRef>
              <c:f>Visualizations!$E$3:$E$18</c:f>
              <c:numCache>
                <c:formatCode>"₹"\ #,##0.00</c:formatCode>
                <c:ptCount val="13"/>
                <c:pt idx="0">
                  <c:v>20919.330000000002</c:v>
                </c:pt>
                <c:pt idx="1">
                  <c:v>17039.349999999999</c:v>
                </c:pt>
                <c:pt idx="2">
                  <c:v>19299.45</c:v>
                </c:pt>
                <c:pt idx="3">
                  <c:v>18479.399999999994</c:v>
                </c:pt>
                <c:pt idx="4">
                  <c:v>15759.429999999997</c:v>
                </c:pt>
                <c:pt idx="5">
                  <c:v>12989.509999999997</c:v>
                </c:pt>
                <c:pt idx="6">
                  <c:v>20609.52</c:v>
                </c:pt>
                <c:pt idx="7">
                  <c:v>12309.439999999999</c:v>
                </c:pt>
                <c:pt idx="8">
                  <c:v>23039.3</c:v>
                </c:pt>
                <c:pt idx="9">
                  <c:v>25799.15</c:v>
                </c:pt>
                <c:pt idx="10">
                  <c:v>16069.379999999997</c:v>
                </c:pt>
                <c:pt idx="11">
                  <c:v>19899.379999999997</c:v>
                </c:pt>
                <c:pt idx="12">
                  <c:v>6979.829999999999</c:v>
                </c:pt>
              </c:numCache>
            </c:numRef>
          </c:val>
          <c:smooth val="0"/>
          <c:extLst>
            <c:ext xmlns:c16="http://schemas.microsoft.com/office/drawing/2014/chart" uri="{C3380CC4-5D6E-409C-BE32-E72D297353CC}">
              <c16:uniqueId val="{00000000-490C-4778-9A8B-19EDACA753F6}"/>
            </c:ext>
          </c:extLst>
        </c:ser>
        <c:dLbls>
          <c:showLegendKey val="0"/>
          <c:showVal val="0"/>
          <c:showCatName val="0"/>
          <c:showSerName val="0"/>
          <c:showPercent val="0"/>
          <c:showBubbleSize val="0"/>
        </c:dLbls>
        <c:marker val="1"/>
        <c:smooth val="0"/>
        <c:axId val="709470760"/>
        <c:axId val="709472560"/>
      </c:lineChart>
      <c:catAx>
        <c:axId val="709470760"/>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a:t>Month</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9472560"/>
        <c:crosses val="autoZero"/>
        <c:auto val="1"/>
        <c:lblAlgn val="ctr"/>
        <c:lblOffset val="100"/>
        <c:noMultiLvlLbl val="0"/>
      </c:catAx>
      <c:valAx>
        <c:axId val="70947256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a:t>Total Amount</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IN"/>
            </a:p>
          </c:txPr>
        </c:title>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94707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[Final_Project_Excel.xlsx]Visualizations!PivotTable5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Revenue by Category</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s>
    <c:plotArea>
      <c:layout/>
      <c:pieChart>
        <c:varyColors val="1"/>
        <c:ser>
          <c:idx val="0"/>
          <c:order val="0"/>
          <c:tx>
            <c:strRef>
              <c:f>Visualizations!$H$16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D0B-48C1-A086-CE373959628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D0B-48C1-A086-CE373959628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D0B-48C1-A086-CE373959628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Visualizations!$G$17:$G$20</c:f>
              <c:strCache>
                <c:ptCount val="3"/>
                <c:pt idx="0">
                  <c:v>Appliances</c:v>
                </c:pt>
                <c:pt idx="1">
                  <c:v>Electronics</c:v>
                </c:pt>
                <c:pt idx="2">
                  <c:v>Furniture</c:v>
                </c:pt>
              </c:strCache>
            </c:strRef>
          </c:cat>
          <c:val>
            <c:numRef>
              <c:f>Visualizations!$H$17:$H$20</c:f>
              <c:numCache>
                <c:formatCode>"₹"\ #,##0.00</c:formatCode>
                <c:ptCount val="3"/>
                <c:pt idx="0">
                  <c:v>8338.7399999999961</c:v>
                </c:pt>
                <c:pt idx="1">
                  <c:v>171756.05000000013</c:v>
                </c:pt>
                <c:pt idx="2">
                  <c:v>49097.680000000015</c:v>
                </c:pt>
              </c:numCache>
            </c:numRef>
          </c:val>
          <c:extLst>
            <c:ext xmlns:c16="http://schemas.microsoft.com/office/drawing/2014/chart" uri="{C3380CC4-5D6E-409C-BE32-E72D297353CC}">
              <c16:uniqueId val="{00000006-5D0B-48C1-A086-CE373959628A}"/>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601980</xdr:colOff>
      <xdr:row>29</xdr:row>
      <xdr:rowOff>101600</xdr:rowOff>
    </xdr:from>
    <xdr:to>
      <xdr:col>8</xdr:col>
      <xdr:colOff>594360</xdr:colOff>
      <xdr:row>44</xdr:row>
      <xdr:rowOff>108857</xdr:rowOff>
    </xdr:to>
    <xdr:graphicFrame macro="">
      <xdr:nvGraphicFramePr>
        <xdr:cNvPr id="2" name="Chart 1">
          <a:extLst>
            <a:ext uri="{FF2B5EF4-FFF2-40B4-BE49-F238E27FC236}">
              <a16:creationId xmlns:a16="http://schemas.microsoft.com/office/drawing/2014/main" id="{3EBB2D54-ED66-52EA-0535-16B62021E97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601980</xdr:colOff>
      <xdr:row>45</xdr:row>
      <xdr:rowOff>19050</xdr:rowOff>
    </xdr:from>
    <xdr:to>
      <xdr:col>8</xdr:col>
      <xdr:colOff>640080</xdr:colOff>
      <xdr:row>61</xdr:row>
      <xdr:rowOff>167640</xdr:rowOff>
    </xdr:to>
    <xdr:graphicFrame macro="">
      <xdr:nvGraphicFramePr>
        <xdr:cNvPr id="3" name="Chart 2">
          <a:extLst>
            <a:ext uri="{FF2B5EF4-FFF2-40B4-BE49-F238E27FC236}">
              <a16:creationId xmlns:a16="http://schemas.microsoft.com/office/drawing/2014/main" id="{08970553-29AA-4A88-41E8-710FCB26E91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0</xdr:colOff>
      <xdr:row>63</xdr:row>
      <xdr:rowOff>11430</xdr:rowOff>
    </xdr:from>
    <xdr:to>
      <xdr:col>8</xdr:col>
      <xdr:colOff>647700</xdr:colOff>
      <xdr:row>81</xdr:row>
      <xdr:rowOff>53340</xdr:rowOff>
    </xdr:to>
    <xdr:graphicFrame macro="">
      <xdr:nvGraphicFramePr>
        <xdr:cNvPr id="4" name="Chart 3">
          <a:extLst>
            <a:ext uri="{FF2B5EF4-FFF2-40B4-BE49-F238E27FC236}">
              <a16:creationId xmlns:a16="http://schemas.microsoft.com/office/drawing/2014/main" id="{CB50EB8E-01F2-7142-F774-A92343282E8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xdr:col>
      <xdr:colOff>541020</xdr:colOff>
      <xdr:row>82</xdr:row>
      <xdr:rowOff>53340</xdr:rowOff>
    </xdr:from>
    <xdr:to>
      <xdr:col>4</xdr:col>
      <xdr:colOff>957580</xdr:colOff>
      <xdr:row>95</xdr:row>
      <xdr:rowOff>127635</xdr:rowOff>
    </xdr:to>
    <mc:AlternateContent xmlns:mc="http://schemas.openxmlformats.org/markup-compatibility/2006" xmlns:a14="http://schemas.microsoft.com/office/drawing/2010/main">
      <mc:Choice Requires="a14">
        <xdr:graphicFrame macro="">
          <xdr:nvGraphicFramePr>
            <xdr:cNvPr id="5" name="Category">
              <a:extLst>
                <a:ext uri="{FF2B5EF4-FFF2-40B4-BE49-F238E27FC236}">
                  <a16:creationId xmlns:a16="http://schemas.microsoft.com/office/drawing/2014/main" id="{DAE2670D-3D5C-AE2A-C794-08720A090476}"/>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2999740" y="14216380"/>
              <a:ext cx="2011680" cy="231965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1036320</xdr:colOff>
      <xdr:row>82</xdr:row>
      <xdr:rowOff>99060</xdr:rowOff>
    </xdr:from>
    <xdr:to>
      <xdr:col>6</xdr:col>
      <xdr:colOff>330200</xdr:colOff>
      <xdr:row>96</xdr:row>
      <xdr:rowOff>2293</xdr:rowOff>
    </xdr:to>
    <mc:AlternateContent xmlns:mc="http://schemas.openxmlformats.org/markup-compatibility/2006" xmlns:a14="http://schemas.microsoft.com/office/drawing/2010/main">
      <mc:Choice Requires="a14">
        <xdr:graphicFrame macro="">
          <xdr:nvGraphicFramePr>
            <xdr:cNvPr id="6" name="Payment_Method">
              <a:extLst>
                <a:ext uri="{FF2B5EF4-FFF2-40B4-BE49-F238E27FC236}">
                  <a16:creationId xmlns:a16="http://schemas.microsoft.com/office/drawing/2014/main" id="{893F879C-5426-3612-1448-F453FB51539E}"/>
                </a:ext>
              </a:extLst>
            </xdr:cNvPr>
            <xdr:cNvGraphicFramePr/>
          </xdr:nvGraphicFramePr>
          <xdr:xfrm>
            <a:off x="0" y="0"/>
            <a:ext cx="0" cy="0"/>
          </xdr:xfrm>
          <a:graphic>
            <a:graphicData uri="http://schemas.microsoft.com/office/drawing/2010/slicer">
              <sle:slicer xmlns:sle="http://schemas.microsoft.com/office/drawing/2010/slicer" name="Payment_Method"/>
            </a:graphicData>
          </a:graphic>
        </xdr:graphicFrame>
      </mc:Choice>
      <mc:Fallback xmlns="">
        <xdr:sp macro="" textlink="">
          <xdr:nvSpPr>
            <xdr:cNvPr id="0" name=""/>
            <xdr:cNvSpPr>
              <a:spLocks noTextEdit="1"/>
            </xdr:cNvSpPr>
          </xdr:nvSpPr>
          <xdr:spPr>
            <a:xfrm>
              <a:off x="4897120" y="14262100"/>
              <a:ext cx="1833880" cy="232131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571500</xdr:colOff>
      <xdr:row>82</xdr:row>
      <xdr:rowOff>99060</xdr:rowOff>
    </xdr:from>
    <xdr:to>
      <xdr:col>7</xdr:col>
      <xdr:colOff>1419860</xdr:colOff>
      <xdr:row>96</xdr:row>
      <xdr:rowOff>2293</xdr:rowOff>
    </xdr:to>
    <mc:AlternateContent xmlns:mc="http://schemas.openxmlformats.org/markup-compatibility/2006" xmlns:a14="http://schemas.microsoft.com/office/drawing/2010/main">
      <mc:Choice Requires="a14">
        <xdr:graphicFrame macro="">
          <xdr:nvGraphicFramePr>
            <xdr:cNvPr id="7" name="Region">
              <a:extLst>
                <a:ext uri="{FF2B5EF4-FFF2-40B4-BE49-F238E27FC236}">
                  <a16:creationId xmlns:a16="http://schemas.microsoft.com/office/drawing/2014/main" id="{3535F575-93D6-1528-B455-C54C1D469637}"/>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6921500" y="14262100"/>
              <a:ext cx="1833880" cy="232131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38100</xdr:colOff>
      <xdr:row>82</xdr:row>
      <xdr:rowOff>99060</xdr:rowOff>
    </xdr:from>
    <xdr:to>
      <xdr:col>10</xdr:col>
      <xdr:colOff>129540</xdr:colOff>
      <xdr:row>96</xdr:row>
      <xdr:rowOff>2293</xdr:rowOff>
    </xdr:to>
    <mc:AlternateContent xmlns:mc="http://schemas.openxmlformats.org/markup-compatibility/2006" xmlns:a14="http://schemas.microsoft.com/office/drawing/2010/main">
      <mc:Choice Requires="a14">
        <xdr:graphicFrame macro="">
          <xdr:nvGraphicFramePr>
            <xdr:cNvPr id="8" name="Customer_Segment">
              <a:extLst>
                <a:ext uri="{FF2B5EF4-FFF2-40B4-BE49-F238E27FC236}">
                  <a16:creationId xmlns:a16="http://schemas.microsoft.com/office/drawing/2014/main" id="{0D09D1E5-27CA-24FD-B975-60681A607B9F}"/>
                </a:ext>
              </a:extLst>
            </xdr:cNvPr>
            <xdr:cNvGraphicFramePr/>
          </xdr:nvGraphicFramePr>
          <xdr:xfrm>
            <a:off x="0" y="0"/>
            <a:ext cx="0" cy="0"/>
          </xdr:xfrm>
          <a:graphic>
            <a:graphicData uri="http://schemas.microsoft.com/office/drawing/2010/slicer">
              <sle:slicer xmlns:sle="http://schemas.microsoft.com/office/drawing/2010/slicer" name="Customer_Segment"/>
            </a:graphicData>
          </a:graphic>
        </xdr:graphicFrame>
      </mc:Choice>
      <mc:Fallback xmlns="">
        <xdr:sp macro="" textlink="">
          <xdr:nvSpPr>
            <xdr:cNvPr id="0" name=""/>
            <xdr:cNvSpPr>
              <a:spLocks noTextEdit="1"/>
            </xdr:cNvSpPr>
          </xdr:nvSpPr>
          <xdr:spPr>
            <a:xfrm>
              <a:off x="8724900" y="14262100"/>
              <a:ext cx="1828800" cy="232131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8553</xdr:colOff>
      <xdr:row>20</xdr:row>
      <xdr:rowOff>154578</xdr:rowOff>
    </xdr:from>
    <xdr:to>
      <xdr:col>8</xdr:col>
      <xdr:colOff>955040</xdr:colOff>
      <xdr:row>28</xdr:row>
      <xdr:rowOff>97817</xdr:rowOff>
    </xdr:to>
    <mc:AlternateContent xmlns:mc="http://schemas.openxmlformats.org/markup-compatibility/2006" xmlns:tsle="http://schemas.microsoft.com/office/drawing/2012/timeslicer">
      <mc:Choice Requires="tsle">
        <xdr:graphicFrame macro="">
          <xdr:nvGraphicFramePr>
            <xdr:cNvPr id="9" name="Date">
              <a:extLst>
                <a:ext uri="{FF2B5EF4-FFF2-40B4-BE49-F238E27FC236}">
                  <a16:creationId xmlns:a16="http://schemas.microsoft.com/office/drawing/2014/main" id="{E632FDF3-CFF5-156F-3E5A-7040A9BF9E50}"/>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6358553" y="3608978"/>
              <a:ext cx="3405207" cy="1324999"/>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19</xdr:row>
      <xdr:rowOff>0</xdr:rowOff>
    </xdr:from>
    <xdr:to>
      <xdr:col>6</xdr:col>
      <xdr:colOff>55880</xdr:colOff>
      <xdr:row>33</xdr:row>
      <xdr:rowOff>114988</xdr:rowOff>
    </xdr:to>
    <xdr:graphicFrame macro="">
      <xdr:nvGraphicFramePr>
        <xdr:cNvPr id="2" name="Chart 1">
          <a:extLst>
            <a:ext uri="{FF2B5EF4-FFF2-40B4-BE49-F238E27FC236}">
              <a16:creationId xmlns:a16="http://schemas.microsoft.com/office/drawing/2014/main" id="{2DEBF452-A0E0-4628-9171-6A428CDBF0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35</xdr:row>
      <xdr:rowOff>105104</xdr:rowOff>
    </xdr:from>
    <xdr:to>
      <xdr:col>6</xdr:col>
      <xdr:colOff>101600</xdr:colOff>
      <xdr:row>52</xdr:row>
      <xdr:rowOff>2059</xdr:rowOff>
    </xdr:to>
    <xdr:graphicFrame macro="">
      <xdr:nvGraphicFramePr>
        <xdr:cNvPr id="3" name="Chart 2">
          <a:extLst>
            <a:ext uri="{FF2B5EF4-FFF2-40B4-BE49-F238E27FC236}">
              <a16:creationId xmlns:a16="http://schemas.microsoft.com/office/drawing/2014/main" id="{3C514ACD-DF44-4836-B84E-C25914F62F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388471</xdr:colOff>
      <xdr:row>35</xdr:row>
      <xdr:rowOff>0</xdr:rowOff>
    </xdr:from>
    <xdr:to>
      <xdr:col>19</xdr:col>
      <xdr:colOff>344297</xdr:colOff>
      <xdr:row>53</xdr:row>
      <xdr:rowOff>88349</xdr:rowOff>
    </xdr:to>
    <xdr:graphicFrame macro="">
      <xdr:nvGraphicFramePr>
        <xdr:cNvPr id="4" name="Chart 3">
          <a:extLst>
            <a:ext uri="{FF2B5EF4-FFF2-40B4-BE49-F238E27FC236}">
              <a16:creationId xmlns:a16="http://schemas.microsoft.com/office/drawing/2014/main" id="{F4BFE963-7453-4BDC-9B63-676B1D95B6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6</xdr:col>
      <xdr:colOff>298823</xdr:colOff>
      <xdr:row>18</xdr:row>
      <xdr:rowOff>169412</xdr:rowOff>
    </xdr:from>
    <xdr:to>
      <xdr:col>10</xdr:col>
      <xdr:colOff>8470</xdr:colOff>
      <xdr:row>33</xdr:row>
      <xdr:rowOff>0</xdr:rowOff>
    </xdr:to>
    <mc:AlternateContent xmlns:mc="http://schemas.openxmlformats.org/markup-compatibility/2006" xmlns:a14="http://schemas.microsoft.com/office/drawing/2010/main">
      <mc:Choice Requires="a14">
        <xdr:graphicFrame macro="">
          <xdr:nvGraphicFramePr>
            <xdr:cNvPr id="5" name="Category 1">
              <a:extLst>
                <a:ext uri="{FF2B5EF4-FFF2-40B4-BE49-F238E27FC236}">
                  <a16:creationId xmlns:a16="http://schemas.microsoft.com/office/drawing/2014/main" id="{B2E4BF6C-4907-4281-80DB-7297486F4419}"/>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7560235" y="4158706"/>
              <a:ext cx="2160000" cy="2520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290353</xdr:colOff>
      <xdr:row>19</xdr:row>
      <xdr:rowOff>0</xdr:rowOff>
    </xdr:from>
    <xdr:to>
      <xdr:col>14</xdr:col>
      <xdr:colOff>0</xdr:colOff>
      <xdr:row>33</xdr:row>
      <xdr:rowOff>9882</xdr:rowOff>
    </xdr:to>
    <mc:AlternateContent xmlns:mc="http://schemas.openxmlformats.org/markup-compatibility/2006" xmlns:a14="http://schemas.microsoft.com/office/drawing/2010/main">
      <mc:Choice Requires="a14">
        <xdr:graphicFrame macro="">
          <xdr:nvGraphicFramePr>
            <xdr:cNvPr id="6" name="Payment_Method 1">
              <a:extLst>
                <a:ext uri="{FF2B5EF4-FFF2-40B4-BE49-F238E27FC236}">
                  <a16:creationId xmlns:a16="http://schemas.microsoft.com/office/drawing/2014/main" id="{AC29E26D-A964-423F-94FD-7F09A1985F1A}"/>
                </a:ext>
              </a:extLst>
            </xdr:cNvPr>
            <xdr:cNvGraphicFramePr/>
          </xdr:nvGraphicFramePr>
          <xdr:xfrm>
            <a:off x="0" y="0"/>
            <a:ext cx="0" cy="0"/>
          </xdr:xfrm>
          <a:graphic>
            <a:graphicData uri="http://schemas.microsoft.com/office/drawing/2010/slicer">
              <sle:slicer xmlns:sle="http://schemas.microsoft.com/office/drawing/2010/slicer" name="Payment_Method 1"/>
            </a:graphicData>
          </a:graphic>
        </xdr:graphicFrame>
      </mc:Choice>
      <mc:Fallback xmlns="">
        <xdr:sp macro="" textlink="">
          <xdr:nvSpPr>
            <xdr:cNvPr id="0" name=""/>
            <xdr:cNvSpPr>
              <a:spLocks noTextEdit="1"/>
            </xdr:cNvSpPr>
          </xdr:nvSpPr>
          <xdr:spPr>
            <a:xfrm>
              <a:off x="10002118" y="4168588"/>
              <a:ext cx="2160000" cy="2520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149412</xdr:colOff>
      <xdr:row>18</xdr:row>
      <xdr:rowOff>169412</xdr:rowOff>
    </xdr:from>
    <xdr:to>
      <xdr:col>17</xdr:col>
      <xdr:colOff>471648</xdr:colOff>
      <xdr:row>33</xdr:row>
      <xdr:rowOff>0</xdr:rowOff>
    </xdr:to>
    <mc:AlternateContent xmlns:mc="http://schemas.openxmlformats.org/markup-compatibility/2006" xmlns:a14="http://schemas.microsoft.com/office/drawing/2010/main">
      <mc:Choice Requires="a14">
        <xdr:graphicFrame macro="">
          <xdr:nvGraphicFramePr>
            <xdr:cNvPr id="7" name="Region 1">
              <a:extLst>
                <a:ext uri="{FF2B5EF4-FFF2-40B4-BE49-F238E27FC236}">
                  <a16:creationId xmlns:a16="http://schemas.microsoft.com/office/drawing/2014/main" id="{76D1657D-6CCA-4D31-B387-67CDEE1E76A2}"/>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2311530" y="4158706"/>
              <a:ext cx="2160000" cy="2520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836707</xdr:colOff>
      <xdr:row>18</xdr:row>
      <xdr:rowOff>169412</xdr:rowOff>
    </xdr:from>
    <xdr:to>
      <xdr:col>21</xdr:col>
      <xdr:colOff>38354</xdr:colOff>
      <xdr:row>33</xdr:row>
      <xdr:rowOff>0</xdr:rowOff>
    </xdr:to>
    <mc:AlternateContent xmlns:mc="http://schemas.openxmlformats.org/markup-compatibility/2006" xmlns:a14="http://schemas.microsoft.com/office/drawing/2010/main">
      <mc:Choice Requires="a14">
        <xdr:graphicFrame macro="">
          <xdr:nvGraphicFramePr>
            <xdr:cNvPr id="8" name="Customer_Segment 1">
              <a:extLst>
                <a:ext uri="{FF2B5EF4-FFF2-40B4-BE49-F238E27FC236}">
                  <a16:creationId xmlns:a16="http://schemas.microsoft.com/office/drawing/2014/main" id="{C9EAF3C1-BBD0-491A-939F-AAD12F74BAE4}"/>
                </a:ext>
              </a:extLst>
            </xdr:cNvPr>
            <xdr:cNvGraphicFramePr/>
          </xdr:nvGraphicFramePr>
          <xdr:xfrm>
            <a:off x="0" y="0"/>
            <a:ext cx="0" cy="0"/>
          </xdr:xfrm>
          <a:graphic>
            <a:graphicData uri="http://schemas.microsoft.com/office/drawing/2010/slicer">
              <sle:slicer xmlns:sle="http://schemas.microsoft.com/office/drawing/2010/slicer" name="Customer_Segment 1"/>
            </a:graphicData>
          </a:graphic>
        </xdr:graphicFrame>
      </mc:Choice>
      <mc:Fallback xmlns="">
        <xdr:sp macro="" textlink="">
          <xdr:nvSpPr>
            <xdr:cNvPr id="0" name=""/>
            <xdr:cNvSpPr>
              <a:spLocks noTextEdit="1"/>
            </xdr:cNvSpPr>
          </xdr:nvSpPr>
          <xdr:spPr>
            <a:xfrm>
              <a:off x="14836589" y="4158706"/>
              <a:ext cx="2160000" cy="2520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39020</xdr:colOff>
      <xdr:row>54</xdr:row>
      <xdr:rowOff>101600</xdr:rowOff>
    </xdr:from>
    <xdr:to>
      <xdr:col>7</xdr:col>
      <xdr:colOff>0</xdr:colOff>
      <xdr:row>62</xdr:row>
      <xdr:rowOff>62849</xdr:rowOff>
    </xdr:to>
    <mc:AlternateContent xmlns:mc="http://schemas.openxmlformats.org/markup-compatibility/2006" xmlns:tsle="http://schemas.microsoft.com/office/drawing/2012/timeslicer">
      <mc:Choice Requires="tsle">
        <xdr:graphicFrame macro="">
          <xdr:nvGraphicFramePr>
            <xdr:cNvPr id="9" name="Date 1">
              <a:extLst>
                <a:ext uri="{FF2B5EF4-FFF2-40B4-BE49-F238E27FC236}">
                  <a16:creationId xmlns:a16="http://schemas.microsoft.com/office/drawing/2014/main" id="{FAE6BC38-967D-47B4-817C-76D203341078}"/>
                </a:ext>
              </a:extLst>
            </xdr:cNvPr>
            <xdr:cNvGraphicFramePr/>
          </xdr:nvGraphicFramePr>
          <xdr:xfrm>
            <a:off x="0" y="0"/>
            <a:ext cx="0" cy="0"/>
          </xdr:xfrm>
          <a:graphic>
            <a:graphicData uri="http://schemas.microsoft.com/office/drawing/2012/timeslicer">
              <tsle:timeslicer name="Date 1"/>
            </a:graphicData>
          </a:graphic>
        </xdr:graphicFrame>
      </mc:Choice>
      <mc:Fallback xmlns="">
        <xdr:sp macro="" textlink="">
          <xdr:nvSpPr>
            <xdr:cNvPr id="0" name=""/>
            <xdr:cNvSpPr>
              <a:spLocks noTextEdit="1"/>
            </xdr:cNvSpPr>
          </xdr:nvSpPr>
          <xdr:spPr>
            <a:xfrm>
              <a:off x="39020" y="10545482"/>
              <a:ext cx="7834980" cy="1395602"/>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6323.737451504632" createdVersion="8" refreshedVersion="8" minRefreshableVersion="3" recordCount="250" xr:uid="{01809922-F128-4E79-941B-0C6567FC6108}">
  <cacheSource type="worksheet">
    <worksheetSource name="tblTransactions"/>
  </cacheSource>
  <cacheFields count="18">
    <cacheField name="Transaction_ID" numFmtId="0">
      <sharedItems count="250">
        <s v="TRX0155"/>
        <s v="TRX0023"/>
        <s v="TRX0139"/>
        <s v="TRX0043"/>
        <s v="TRX0212"/>
        <s v="TRX0092"/>
        <s v="TRX0193"/>
        <s v="TRX0240"/>
        <s v="TRX0135"/>
        <s v="TRX0185"/>
        <s v="TRX0138"/>
        <s v="TRX0209"/>
        <s v="TRX0246"/>
        <s v="TRX0067"/>
        <s v="TRX0191"/>
        <s v="TRX0230"/>
        <s v="TRX0049"/>
        <s v="TRX0134"/>
        <s v="TRX0122"/>
        <s v="TRX0222"/>
        <s v="TRX0231"/>
        <s v="TRX0239"/>
        <s v="TRX0204"/>
        <s v="TRX0242"/>
        <s v="TRX0071"/>
        <s v="TRX0040"/>
        <s v="TRX0235"/>
        <s v="TRX0004"/>
        <s v="TRX0063"/>
        <s v="TRX0241"/>
        <s v="TRX0029"/>
        <s v="TRX0194"/>
        <s v="TRX0130"/>
        <s v="TRX0041"/>
        <s v="TRX0232"/>
        <s v="TRX0021"/>
        <s v="TRX0245"/>
        <s v="TRX0015"/>
        <s v="TRX0202"/>
        <s v="TRX0042"/>
        <s v="TRX0128"/>
        <s v="TRX0117"/>
        <s v="TRX0208"/>
        <s v="TRX0234"/>
        <s v="TRX0121"/>
        <s v="TRX0220"/>
        <s v="TRX0093"/>
        <s v="TRX0088"/>
        <s v="TRX0115"/>
        <s v="TRX0154"/>
        <s v="TRX0044"/>
        <s v="TRX0061"/>
        <s v="TRX0150"/>
        <s v="TRX0025"/>
        <s v="TRX0078"/>
        <s v="TRX0007"/>
        <s v="TRX0184"/>
        <s v="TRX0104"/>
        <s v="TRX0127"/>
        <s v="TRX0096"/>
        <s v="TRX0192"/>
        <s v="TRX0052"/>
        <s v="TRX0070"/>
        <s v="TRX0086"/>
        <s v="TRX0113"/>
        <s v="TRX0114"/>
        <s v="TRX0136"/>
        <s v="TRX0018"/>
        <s v="TRX0141"/>
        <s v="TRX0097"/>
        <s v="TRX0169"/>
        <s v="TRX0216"/>
        <s v="TRX0131"/>
        <s v="TRX0162"/>
        <s v="TRX0244"/>
        <s v="TRX0006"/>
        <s v="TRX0215"/>
        <s v="TRX0080"/>
        <s v="TRX0228"/>
        <s v="TRX0157"/>
        <s v="TRX0002"/>
        <s v="TRX0217"/>
        <s v="TRX0249"/>
        <s v="TRX0065"/>
        <s v="TRX0176"/>
        <s v="TRX0101"/>
        <s v="TRX0205"/>
        <s v="TRX0020"/>
        <s v="TRX0075"/>
        <s v="TRX0098"/>
        <s v="TRX0247"/>
        <s v="TRX0027"/>
        <s v="TRX0140"/>
        <s v="TRX0132"/>
        <s v="TRX0031"/>
        <s v="TRX0236"/>
        <s v="TRX0001"/>
        <s v="TRX0037"/>
        <s v="TRX0058"/>
        <s v="TRX0170"/>
        <s v="TRX0248"/>
        <s v="TRX0099"/>
        <s v="TRX0074"/>
        <s v="TRX0225"/>
        <s v="TRX0100"/>
        <s v="TRX0142"/>
        <s v="TRX0112"/>
        <s v="TRX0161"/>
        <s v="TRX0108"/>
        <s v="TRX0211"/>
        <s v="TRX0005"/>
        <s v="TRX0195"/>
        <s v="TRX0054"/>
        <s v="TRX0077"/>
        <s v="TRX0111"/>
        <s v="TRX0123"/>
        <s v="TRX0177"/>
        <s v="TRX0119"/>
        <s v="TRX0181"/>
        <s v="TRX0129"/>
        <s v="TRX0174"/>
        <s v="TRX0146"/>
        <s v="TRX0203"/>
        <s v="TRX0055"/>
        <s v="TRX0218"/>
        <s v="TRX0085"/>
        <s v="TRX0158"/>
        <s v="TRX0173"/>
        <s v="TRX0034"/>
        <s v="TRX0189"/>
        <s v="TRX0190"/>
        <s v="TRX0079"/>
        <s v="TRX0095"/>
        <s v="TRX0009"/>
        <s v="TRX0167"/>
        <s v="TRX0153"/>
        <s v="TRX0057"/>
        <s v="TRX0017"/>
        <s v="TRX0060"/>
        <s v="TRX0109"/>
        <s v="TRX0090"/>
        <s v="TRX0035"/>
        <s v="TRX0172"/>
        <s v="TRX0076"/>
        <s v="TRX0210"/>
        <s v="TRX0149"/>
        <s v="TRX0073"/>
        <s v="TRX0033"/>
        <s v="TRX0160"/>
        <s v="TRX0145"/>
        <s v="TRX0148"/>
        <s v="TRX0012"/>
        <s v="TRX0206"/>
        <s v="TRX0045"/>
        <s v="TRX0094"/>
        <s v="TRX0133"/>
        <s v="TRX0201"/>
        <s v="TRX0137"/>
        <s v="TRX0066"/>
        <s v="TRX0180"/>
        <s v="TRX0082"/>
        <s v="TRX0036"/>
        <s v="TRX0198"/>
        <s v="TRX0032"/>
        <s v="TRX0081"/>
        <s v="TRX0224"/>
        <s v="TRX0028"/>
        <s v="TRX0183"/>
        <s v="TRX0163"/>
        <s v="TRX0046"/>
        <s v="TRX0164"/>
        <s v="TRX0008"/>
        <s v="TRX0171"/>
        <s v="TRX0143"/>
        <s v="TRX0165"/>
        <s v="TRX0156"/>
        <s v="TRX0147"/>
        <s v="TRX0207"/>
        <s v="TRX0056"/>
        <s v="TRX0026"/>
        <s v="TRX0237"/>
        <s v="TRX0091"/>
        <s v="TRX0125"/>
        <s v="TRX0223"/>
        <s v="TRX0243"/>
        <s v="TRX0084"/>
        <s v="TRX0238"/>
        <s v="TRX0102"/>
        <s v="TRX0022"/>
        <s v="TRX0087"/>
        <s v="TRX0107"/>
        <s v="TRX0051"/>
        <s v="TRX0106"/>
        <s v="TRX0059"/>
        <s v="TRX0072"/>
        <s v="TRX0110"/>
        <s v="TRX0126"/>
        <s v="TRX0159"/>
        <s v="TRX0030"/>
        <s v="TRX0178"/>
        <s v="TRX0188"/>
        <s v="TRX0010"/>
        <s v="TRX0069"/>
        <s v="TRX0166"/>
        <s v="TRX0219"/>
        <s v="TRX0024"/>
        <s v="TRX0105"/>
        <s v="TRX0011"/>
        <s v="TRX0187"/>
        <s v="TRX0089"/>
        <s v="TRX0196"/>
        <s v="TRX0118"/>
        <s v="TRX0179"/>
        <s v="TRX0168"/>
        <s v="TRX0214"/>
        <s v="TRX0221"/>
        <s v="TRX0083"/>
        <s v="TRX0151"/>
        <s v="TRX0047"/>
        <s v="TRX0200"/>
        <s v="TRX0062"/>
        <s v="TRX0182"/>
        <s v="TRX0229"/>
        <s v="TRX0048"/>
        <s v="TRX0227"/>
        <s v="TRX0226"/>
        <s v="TRX0053"/>
        <s v="TRX0233"/>
        <s v="TRX0175"/>
        <s v="TRX0186"/>
        <s v="TRX0016"/>
        <s v="TRX0199"/>
        <s v="TRX0038"/>
        <s v="TRX0014"/>
        <s v="TRX0003"/>
        <s v="TRX0124"/>
        <s v="TRX0013"/>
        <s v="TRX0019"/>
        <s v="TRX0050"/>
        <s v="TRX0152"/>
        <s v="TRX0213"/>
        <s v="TRX0197"/>
        <s v="TRX0250"/>
        <s v="TRX0068"/>
        <s v="TRX0144"/>
        <s v="TRX0039"/>
        <s v="TRX0116"/>
        <s v="TRX0120"/>
        <s v="TRX0103"/>
        <s v="TRX0064"/>
      </sharedItems>
    </cacheField>
    <cacheField name="Date" numFmtId="14">
      <sharedItems containsSemiMixedTypes="0" containsNonDate="0" containsDate="1" containsString="0" minDate="2024-04-11T00:00:00" maxDate="2025-04-12T00:00:00" count="162">
        <d v="2024-04-11T00:00:00"/>
        <d v="2024-04-14T00:00:00"/>
        <d v="2024-04-17T00:00:00"/>
        <d v="2024-04-18T00:00:00"/>
        <d v="2024-04-21T00:00:00"/>
        <d v="2024-04-23T00:00:00"/>
        <d v="2024-04-26T00:00:00"/>
        <d v="2024-04-27T00:00:00"/>
        <d v="2024-04-28T00:00:00"/>
        <d v="2024-04-30T00:00:00"/>
        <d v="2024-05-01T00:00:00"/>
        <d v="2024-05-03T00:00:00"/>
        <d v="2024-05-04T00:00:00"/>
        <d v="2024-05-10T00:00:00"/>
        <d v="2024-05-12T00:00:00"/>
        <d v="2024-05-13T00:00:00"/>
        <d v="2024-05-15T00:00:00"/>
        <d v="2024-05-16T00:00:00"/>
        <d v="2024-05-18T00:00:00"/>
        <d v="2024-05-20T00:00:00"/>
        <d v="2024-05-22T00:00:00"/>
        <d v="2024-05-23T00:00:00"/>
        <d v="2024-05-26T00:00:00"/>
        <d v="2024-05-28T00:00:00"/>
        <d v="2024-05-29T00:00:00"/>
        <d v="2024-05-31T00:00:00"/>
        <d v="2024-06-01T00:00:00"/>
        <d v="2024-06-03T00:00:00"/>
        <d v="2024-06-06T00:00:00"/>
        <d v="2024-06-07T00:00:00"/>
        <d v="2024-06-09T00:00:00"/>
        <d v="2024-06-13T00:00:00"/>
        <d v="2024-06-16T00:00:00"/>
        <d v="2024-06-17T00:00:00"/>
        <d v="2024-06-25T00:00:00"/>
        <d v="2024-06-26T00:00:00"/>
        <d v="2024-06-28T00:00:00"/>
        <d v="2024-06-29T00:00:00"/>
        <d v="2024-07-01T00:00:00"/>
        <d v="2024-07-02T00:00:00"/>
        <d v="2024-07-03T00:00:00"/>
        <d v="2024-07-08T00:00:00"/>
        <d v="2024-07-09T00:00:00"/>
        <d v="2024-07-11T00:00:00"/>
        <d v="2024-07-14T00:00:00"/>
        <d v="2024-07-17T00:00:00"/>
        <d v="2024-07-18T00:00:00"/>
        <d v="2024-07-23T00:00:00"/>
        <d v="2024-07-24T00:00:00"/>
        <d v="2024-07-25T00:00:00"/>
        <d v="2024-07-27T00:00:00"/>
        <d v="2024-07-28T00:00:00"/>
        <d v="2024-07-30T00:00:00"/>
        <d v="2024-07-31T00:00:00"/>
        <d v="2024-08-05T00:00:00"/>
        <d v="2024-08-06T00:00:00"/>
        <d v="2024-08-09T00:00:00"/>
        <d v="2024-08-11T00:00:00"/>
        <d v="2024-08-13T00:00:00"/>
        <d v="2024-08-15T00:00:00"/>
        <d v="2024-08-18T00:00:00"/>
        <d v="2024-08-19T00:00:00"/>
        <d v="2024-08-22T00:00:00"/>
        <d v="2024-08-24T00:00:00"/>
        <d v="2024-08-28T00:00:00"/>
        <d v="2024-08-30T00:00:00"/>
        <d v="2024-09-02T00:00:00"/>
        <d v="2024-09-03T00:00:00"/>
        <d v="2024-09-06T00:00:00"/>
        <d v="2024-09-09T00:00:00"/>
        <d v="2024-09-10T00:00:00"/>
        <d v="2024-09-12T00:00:00"/>
        <d v="2024-09-13T00:00:00"/>
        <d v="2024-09-15T00:00:00"/>
        <d v="2024-09-16T00:00:00"/>
        <d v="2024-09-19T00:00:00"/>
        <d v="2024-09-24T00:00:00"/>
        <d v="2024-09-25T00:00:00"/>
        <d v="2024-09-28T00:00:00"/>
        <d v="2024-09-29T00:00:00"/>
        <d v="2024-10-01T00:00:00"/>
        <d v="2024-10-07T00:00:00"/>
        <d v="2024-10-08T00:00:00"/>
        <d v="2024-10-11T00:00:00"/>
        <d v="2024-10-14T00:00:00"/>
        <d v="2024-10-16T00:00:00"/>
        <d v="2024-10-18T00:00:00"/>
        <d v="2024-10-21T00:00:00"/>
        <d v="2024-10-23T00:00:00"/>
        <d v="2024-10-24T00:00:00"/>
        <d v="2024-10-27T00:00:00"/>
        <d v="2024-11-01T00:00:00"/>
        <d v="2024-11-04T00:00:00"/>
        <d v="2024-11-07T00:00:00"/>
        <d v="2024-11-08T00:00:00"/>
        <d v="2024-11-09T00:00:00"/>
        <d v="2024-11-11T00:00:00"/>
        <d v="2024-11-12T00:00:00"/>
        <d v="2024-11-17T00:00:00"/>
        <d v="2024-11-21T00:00:00"/>
        <d v="2024-11-23T00:00:00"/>
        <d v="2024-11-26T00:00:00"/>
        <d v="2024-11-27T00:00:00"/>
        <d v="2024-12-01T00:00:00"/>
        <d v="2024-12-03T00:00:00"/>
        <d v="2024-12-04T00:00:00"/>
        <d v="2024-12-09T00:00:00"/>
        <d v="2024-12-10T00:00:00"/>
        <d v="2024-12-12T00:00:00"/>
        <d v="2024-12-15T00:00:00"/>
        <d v="2024-12-18T00:00:00"/>
        <d v="2024-12-19T00:00:00"/>
        <d v="2024-12-20T00:00:00"/>
        <d v="2024-12-22T00:00:00"/>
        <d v="2024-12-23T00:00:00"/>
        <d v="2024-12-28T00:00:00"/>
        <d v="2024-12-29T00:00:00"/>
        <d v="2024-12-31T00:00:00"/>
        <d v="2025-01-03T00:00:00"/>
        <d v="2025-01-04T00:00:00"/>
        <d v="2025-01-06T00:00:00"/>
        <d v="2025-01-09T00:00:00"/>
        <d v="2025-01-10T00:00:00"/>
        <d v="2025-01-11T00:00:00"/>
        <d v="2025-01-13T00:00:00"/>
        <d v="2025-01-14T00:00:00"/>
        <d v="2025-01-16T00:00:00"/>
        <d v="2025-01-19T00:00:00"/>
        <d v="2025-01-25T00:00:00"/>
        <d v="2025-01-26T00:00:00"/>
        <d v="2025-01-29T00:00:00"/>
        <d v="2025-01-31T00:00:00"/>
        <d v="2025-02-04T00:00:00"/>
        <d v="2025-02-07T00:00:00"/>
        <d v="2025-02-08T00:00:00"/>
        <d v="2025-02-13T00:00:00"/>
        <d v="2025-02-16T00:00:00"/>
        <d v="2025-02-17T00:00:00"/>
        <d v="2025-02-19T00:00:00"/>
        <d v="2025-02-20T00:00:00"/>
        <d v="2025-02-22T00:00:00"/>
        <d v="2025-02-23T00:00:00"/>
        <d v="2025-02-24T00:00:00"/>
        <d v="2025-02-27T00:00:00"/>
        <d v="2025-03-02T00:00:00"/>
        <d v="2025-03-04T00:00:00"/>
        <d v="2025-03-05T00:00:00"/>
        <d v="2025-03-07T00:00:00"/>
        <d v="2025-03-08T00:00:00"/>
        <d v="2025-03-10T00:00:00"/>
        <d v="2025-03-18T00:00:00"/>
        <d v="2025-03-21T00:00:00"/>
        <d v="2025-03-23T00:00:00"/>
        <d v="2025-03-24T00:00:00"/>
        <d v="2025-03-27T00:00:00"/>
        <d v="2025-03-29T00:00:00"/>
        <d v="2025-03-30T00:00:00"/>
        <d v="2025-04-01T00:00:00"/>
        <d v="2025-04-02T00:00:00"/>
        <d v="2025-04-08T00:00:00"/>
        <d v="2025-04-09T00:00:00"/>
        <d v="2025-04-11T00:00:00"/>
      </sharedItems>
      <fieldGroup par="17"/>
    </cacheField>
    <cacheField name="Customer_ID" numFmtId="0">
      <sharedItems/>
    </cacheField>
    <cacheField name="Customer_Name" numFmtId="0">
      <sharedItems/>
    </cacheField>
    <cacheField name="Product_ID" numFmtId="0">
      <sharedItems/>
    </cacheField>
    <cacheField name="Product_Name" numFmtId="0">
      <sharedItems count="10">
        <s v="Monitor"/>
        <s v="Blender"/>
        <s v="Bookshelf"/>
        <s v="Headphones"/>
        <s v="Laptop"/>
        <s v="Smartphone"/>
        <s v="Desk"/>
        <s v="Coffee Maker"/>
        <s v="Keyboard"/>
        <s v="Office Chair"/>
      </sharedItems>
    </cacheField>
    <cacheField name="Category" numFmtId="0">
      <sharedItems count="3">
        <s v="Electronics"/>
        <s v="Appliances"/>
        <s v="Furniture"/>
      </sharedItems>
    </cacheField>
    <cacheField name="Quantity" numFmtId="2">
      <sharedItems containsSemiMixedTypes="0" containsString="0" containsNumber="1" containsInteger="1" minValue="1" maxValue="5"/>
    </cacheField>
    <cacheField name="Unit_Price" numFmtId="164">
      <sharedItems containsSemiMixedTypes="0" containsString="0" containsNumber="1" minValue="59.99" maxValue="899.99"/>
    </cacheField>
    <cacheField name="Payment_Method" numFmtId="0">
      <sharedItems count="4">
        <s v="Cash"/>
        <s v="Credit Card"/>
        <s v="PayPal"/>
        <s v="Debit Card"/>
      </sharedItems>
    </cacheField>
    <cacheField name="Region" numFmtId="0">
      <sharedItems count="5">
        <s v="Central"/>
        <s v="South"/>
        <s v="North"/>
        <s v="West"/>
        <s v="East"/>
      </sharedItems>
    </cacheField>
    <cacheField name="Customer_Segment" numFmtId="0">
      <sharedItems count="3">
        <s v="Basic"/>
        <s v="Premium"/>
        <s v="Standard"/>
      </sharedItems>
    </cacheField>
    <cacheField name="Customer_Since" numFmtId="14">
      <sharedItems containsSemiMixedTypes="0" containsNonDate="0" containsDate="1" containsString="0" minDate="2021-07-18T00:00:00" maxDate="2024-04-12T00:00:00"/>
    </cacheField>
    <cacheField name="Total_Amount" numFmtId="164">
      <sharedItems containsSemiMixedTypes="0" containsString="0" containsNumber="1" minValue="59.99" maxValue="4499.95"/>
    </cacheField>
    <cacheField name="Create_Timestamp" numFmtId="165">
      <sharedItems containsSemiMixedTypes="0" containsNonDate="0" containsDate="1" containsString="0" minDate="2026-10-28T17:39:48" maxDate="2026-10-28T17:39:48"/>
    </cacheField>
    <cacheField name="Transaction_Level" numFmtId="0">
      <sharedItems/>
    </cacheField>
    <cacheField name="Months (Date)" numFmtId="0" databaseField="0">
      <fieldGroup base="1">
        <rangePr groupBy="months" startDate="2024-04-11T00:00:00" endDate="2025-04-12T00:00:00"/>
        <groupItems count="14">
          <s v="&lt;11-04-2024"/>
          <s v="Jan"/>
          <s v="Feb"/>
          <s v="Mar"/>
          <s v="Apr"/>
          <s v="May"/>
          <s v="Jun"/>
          <s v="Jul"/>
          <s v="Aug"/>
          <s v="Sep"/>
          <s v="Oct"/>
          <s v="Nov"/>
          <s v="Dec"/>
          <s v="&gt;12-04-2025"/>
        </groupItems>
      </fieldGroup>
    </cacheField>
    <cacheField name="Years (Date)" numFmtId="0" databaseField="0">
      <fieldGroup base="1">
        <rangePr groupBy="years" startDate="2024-04-11T00:00:00" endDate="2025-04-12T00:00:00"/>
        <groupItems count="4">
          <s v="&lt;11-04-2024"/>
          <s v="2024"/>
          <s v="2025"/>
          <s v="&gt;12-04-2025"/>
        </groupItems>
      </fieldGroup>
    </cacheField>
  </cacheFields>
  <extLst>
    <ext xmlns:x14="http://schemas.microsoft.com/office/spreadsheetml/2009/9/main" uri="{725AE2AE-9491-48be-B2B4-4EB974FC3084}">
      <x14:pivotCacheDefinition pivotCacheId="57786539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0">
  <r>
    <x v="0"/>
    <x v="0"/>
    <s v="CUST023"/>
    <s v="Paul Baker"/>
    <s v="P009"/>
    <x v="0"/>
    <x v="0"/>
    <n v="3"/>
    <n v="249.99"/>
    <x v="0"/>
    <x v="0"/>
    <x v="0"/>
    <d v="2021-08-17T00:00:00"/>
    <n v="749.97"/>
    <d v="2026-10-28T17:39:48"/>
    <s v="Medium"/>
  </r>
  <r>
    <x v="1"/>
    <x v="1"/>
    <s v="CUST013"/>
    <s v="Joseph Jackson"/>
    <s v="P009"/>
    <x v="0"/>
    <x v="0"/>
    <n v="3"/>
    <n v="249.99"/>
    <x v="1"/>
    <x v="0"/>
    <x v="1"/>
    <d v="2022-01-14T00:00:00"/>
    <n v="749.97"/>
    <d v="2026-10-28T17:39:48"/>
    <s v="Medium"/>
  </r>
  <r>
    <x v="2"/>
    <x v="2"/>
    <s v="CUST021"/>
    <s v="Kevin Scott"/>
    <s v="P005"/>
    <x v="1"/>
    <x v="1"/>
    <n v="3"/>
    <n v="59.99"/>
    <x v="2"/>
    <x v="1"/>
    <x v="2"/>
    <d v="2023-12-02T00:00:00"/>
    <n v="179.97"/>
    <d v="2026-10-28T17:39:48"/>
    <s v="Low"/>
  </r>
  <r>
    <x v="3"/>
    <x v="3"/>
    <s v="CUST046"/>
    <s v="Kathleen Bennett"/>
    <s v="P005"/>
    <x v="1"/>
    <x v="1"/>
    <n v="3"/>
    <n v="59.99"/>
    <x v="0"/>
    <x v="2"/>
    <x v="1"/>
    <d v="2023-07-07T00:00:00"/>
    <n v="179.97"/>
    <d v="2026-10-28T17:39:48"/>
    <s v="Low"/>
  </r>
  <r>
    <x v="4"/>
    <x v="3"/>
    <s v="CUST003"/>
    <s v="Michael Brown"/>
    <s v="P008"/>
    <x v="2"/>
    <x v="2"/>
    <n v="5"/>
    <n v="149.99"/>
    <x v="1"/>
    <x v="2"/>
    <x v="1"/>
    <d v="2024-01-04T00:00:00"/>
    <n v="749.95"/>
    <d v="2026-10-28T17:39:48"/>
    <s v="Medium"/>
  </r>
  <r>
    <x v="5"/>
    <x v="4"/>
    <s v="CUST024"/>
    <s v="Dorothy Nelson"/>
    <s v="P005"/>
    <x v="1"/>
    <x v="1"/>
    <n v="2"/>
    <n v="59.99"/>
    <x v="0"/>
    <x v="3"/>
    <x v="2"/>
    <d v="2022-07-04T00:00:00"/>
    <n v="119.98"/>
    <d v="2026-10-28T17:39:48"/>
    <s v="Low"/>
  </r>
  <r>
    <x v="6"/>
    <x v="4"/>
    <s v="CUST024"/>
    <s v="Dorothy Nelson"/>
    <s v="P003"/>
    <x v="3"/>
    <x v="0"/>
    <n v="5"/>
    <n v="149.99"/>
    <x v="1"/>
    <x v="0"/>
    <x v="2"/>
    <d v="2021-08-10T00:00:00"/>
    <n v="749.95"/>
    <d v="2026-10-28T17:39:48"/>
    <s v="Medium"/>
  </r>
  <r>
    <x v="7"/>
    <x v="4"/>
    <s v="CUST017"/>
    <s v="Charles Allen"/>
    <s v="P005"/>
    <x v="1"/>
    <x v="1"/>
    <n v="3"/>
    <n v="59.99"/>
    <x v="3"/>
    <x v="1"/>
    <x v="0"/>
    <d v="2023-03-22T00:00:00"/>
    <n v="179.97"/>
    <d v="2026-10-28T17:39:48"/>
    <s v="Low"/>
  </r>
  <r>
    <x v="8"/>
    <x v="5"/>
    <s v="CUST009"/>
    <s v="Robert Thomas"/>
    <s v="P001"/>
    <x v="4"/>
    <x v="0"/>
    <n v="3"/>
    <n v="899.99"/>
    <x v="2"/>
    <x v="4"/>
    <x v="2"/>
    <d v="2024-01-08T00:00:00"/>
    <n v="2699.97"/>
    <d v="2026-10-28T17:39:48"/>
    <s v="High"/>
  </r>
  <r>
    <x v="9"/>
    <x v="6"/>
    <s v="CUST026"/>
    <s v="Karen Hill"/>
    <s v="P005"/>
    <x v="1"/>
    <x v="1"/>
    <n v="3"/>
    <n v="59.99"/>
    <x v="0"/>
    <x v="3"/>
    <x v="1"/>
    <d v="2023-10-08T00:00:00"/>
    <n v="179.97"/>
    <d v="2026-10-28T17:39:48"/>
    <s v="Low"/>
  </r>
  <r>
    <x v="10"/>
    <x v="6"/>
    <s v="CUST022"/>
    <s v="Susan Green"/>
    <s v="P008"/>
    <x v="2"/>
    <x v="2"/>
    <n v="1"/>
    <n v="149.99"/>
    <x v="1"/>
    <x v="3"/>
    <x v="2"/>
    <d v="2023-06-26T00:00:00"/>
    <n v="149.99"/>
    <d v="2026-10-28T17:39:48"/>
    <s v="Low"/>
  </r>
  <r>
    <x v="11"/>
    <x v="6"/>
    <s v="CUST046"/>
    <s v="Kathleen Bennett"/>
    <s v="P008"/>
    <x v="2"/>
    <x v="2"/>
    <n v="5"/>
    <n v="149.99"/>
    <x v="3"/>
    <x v="2"/>
    <x v="0"/>
    <d v="2022-09-26T00:00:00"/>
    <n v="749.95"/>
    <d v="2026-10-28T17:39:48"/>
    <s v="Medium"/>
  </r>
  <r>
    <x v="12"/>
    <x v="6"/>
    <s v="CUST041"/>
    <s v="Peter Richardson"/>
    <s v="P008"/>
    <x v="2"/>
    <x v="2"/>
    <n v="3"/>
    <n v="149.99"/>
    <x v="0"/>
    <x v="2"/>
    <x v="1"/>
    <d v="2022-09-02T00:00:00"/>
    <n v="449.97"/>
    <d v="2026-10-28T17:39:48"/>
    <s v="Low"/>
  </r>
  <r>
    <x v="13"/>
    <x v="7"/>
    <s v="CUST043"/>
    <s v="Dennis Gray"/>
    <s v="P005"/>
    <x v="1"/>
    <x v="1"/>
    <n v="3"/>
    <n v="59.99"/>
    <x v="1"/>
    <x v="2"/>
    <x v="2"/>
    <d v="2024-02-29T00:00:00"/>
    <n v="179.97"/>
    <d v="2026-10-28T17:39:48"/>
    <s v="Low"/>
  </r>
  <r>
    <x v="14"/>
    <x v="7"/>
    <s v="CUST038"/>
    <s v="Michelle Rogers"/>
    <s v="P002"/>
    <x v="5"/>
    <x v="0"/>
    <n v="3"/>
    <n v="699.99"/>
    <x v="1"/>
    <x v="3"/>
    <x v="0"/>
    <d v="2022-01-16T00:00:00"/>
    <n v="2099.9699999999998"/>
    <d v="2026-10-28T17:39:48"/>
    <s v="High"/>
  </r>
  <r>
    <x v="15"/>
    <x v="7"/>
    <s v="CUST027"/>
    <s v="George Adams"/>
    <s v="P001"/>
    <x v="4"/>
    <x v="0"/>
    <n v="1"/>
    <n v="899.99"/>
    <x v="3"/>
    <x v="2"/>
    <x v="2"/>
    <d v="2022-12-25T00:00:00"/>
    <n v="899.99"/>
    <d v="2026-10-28T17:39:48"/>
    <s v="Medium"/>
  </r>
  <r>
    <x v="16"/>
    <x v="8"/>
    <s v="CUST025"/>
    <s v="Mark Carter"/>
    <s v="P008"/>
    <x v="2"/>
    <x v="2"/>
    <n v="4"/>
    <n v="149.99"/>
    <x v="3"/>
    <x v="2"/>
    <x v="1"/>
    <d v="2024-03-23T00:00:00"/>
    <n v="599.96"/>
    <d v="2026-10-28T17:39:48"/>
    <s v="Medium"/>
  </r>
  <r>
    <x v="17"/>
    <x v="8"/>
    <s v="CUST010"/>
    <s v="Maria Garcia"/>
    <s v="P002"/>
    <x v="5"/>
    <x v="0"/>
    <n v="2"/>
    <n v="699.99"/>
    <x v="0"/>
    <x v="2"/>
    <x v="0"/>
    <d v="2022-08-08T00:00:00"/>
    <n v="1399.98"/>
    <d v="2026-10-28T17:39:48"/>
    <s v="High"/>
  </r>
  <r>
    <x v="18"/>
    <x v="8"/>
    <s v="CUST025"/>
    <s v="Mark Carter"/>
    <s v="P001"/>
    <x v="4"/>
    <x v="0"/>
    <n v="4"/>
    <n v="899.99"/>
    <x v="1"/>
    <x v="3"/>
    <x v="2"/>
    <d v="2024-02-05T00:00:00"/>
    <n v="3599.96"/>
    <d v="2026-10-28T17:39:48"/>
    <s v="High"/>
  </r>
  <r>
    <x v="19"/>
    <x v="8"/>
    <s v="CUST048"/>
    <s v="Virginia Sanders"/>
    <s v="P009"/>
    <x v="0"/>
    <x v="0"/>
    <n v="3"/>
    <n v="249.99"/>
    <x v="1"/>
    <x v="2"/>
    <x v="1"/>
    <d v="2023-10-25T00:00:00"/>
    <n v="749.97"/>
    <d v="2026-10-28T17:39:48"/>
    <s v="Medium"/>
  </r>
  <r>
    <x v="20"/>
    <x v="9"/>
    <s v="CUST018"/>
    <s v="Barbara Young"/>
    <s v="P002"/>
    <x v="5"/>
    <x v="0"/>
    <n v="5"/>
    <n v="699.99"/>
    <x v="0"/>
    <x v="3"/>
    <x v="0"/>
    <d v="2023-08-29T00:00:00"/>
    <n v="3499.95"/>
    <d v="2026-10-28T17:39:48"/>
    <s v="High"/>
  </r>
  <r>
    <x v="21"/>
    <x v="10"/>
    <s v="CUST012"/>
    <s v="Patricia Moore"/>
    <s v="P002"/>
    <x v="5"/>
    <x v="0"/>
    <n v="4"/>
    <n v="699.99"/>
    <x v="0"/>
    <x v="4"/>
    <x v="2"/>
    <d v="2021-08-01T00:00:00"/>
    <n v="2799.96"/>
    <d v="2026-10-28T17:39:48"/>
    <s v="High"/>
  </r>
  <r>
    <x v="22"/>
    <x v="11"/>
    <s v="CUST044"/>
    <s v="Cynthia Price"/>
    <s v="P009"/>
    <x v="0"/>
    <x v="0"/>
    <n v="4"/>
    <n v="249.99"/>
    <x v="2"/>
    <x v="2"/>
    <x v="2"/>
    <d v="2021-09-29T00:00:00"/>
    <n v="999.96"/>
    <d v="2026-10-28T17:39:48"/>
    <s v="Medium"/>
  </r>
  <r>
    <x v="23"/>
    <x v="12"/>
    <s v="CUST025"/>
    <s v="Mark Carter"/>
    <s v="P007"/>
    <x v="6"/>
    <x v="2"/>
    <n v="4"/>
    <n v="299.99"/>
    <x v="0"/>
    <x v="3"/>
    <x v="1"/>
    <d v="2022-06-04T00:00:00"/>
    <n v="1199.96"/>
    <d v="2026-10-28T17:39:48"/>
    <s v="High"/>
  </r>
  <r>
    <x v="24"/>
    <x v="13"/>
    <s v="CUST036"/>
    <s v="Nancy Collins"/>
    <s v="P009"/>
    <x v="0"/>
    <x v="0"/>
    <n v="5"/>
    <n v="249.99"/>
    <x v="1"/>
    <x v="3"/>
    <x v="2"/>
    <d v="2021-11-25T00:00:00"/>
    <n v="1249.95"/>
    <d v="2026-10-28T17:39:48"/>
    <s v="High"/>
  </r>
  <r>
    <x v="25"/>
    <x v="14"/>
    <s v="CUST022"/>
    <s v="Susan Green"/>
    <s v="P007"/>
    <x v="6"/>
    <x v="2"/>
    <n v="5"/>
    <n v="299.99"/>
    <x v="2"/>
    <x v="4"/>
    <x v="0"/>
    <d v="2023-08-30T00:00:00"/>
    <n v="1499.95"/>
    <d v="2026-10-28T17:39:48"/>
    <s v="High"/>
  </r>
  <r>
    <x v="26"/>
    <x v="14"/>
    <s v="CUST014"/>
    <s v="Linda Martin"/>
    <s v="P004"/>
    <x v="7"/>
    <x v="1"/>
    <n v="3"/>
    <n v="79.989999999999995"/>
    <x v="2"/>
    <x v="4"/>
    <x v="1"/>
    <d v="2023-03-27T00:00:00"/>
    <n v="239.97"/>
    <d v="2026-10-28T17:39:48"/>
    <s v="Low"/>
  </r>
  <r>
    <x v="27"/>
    <x v="14"/>
    <s v="CUST012"/>
    <s v="Patricia Moore"/>
    <s v="P010"/>
    <x v="8"/>
    <x v="0"/>
    <n v="5"/>
    <n v="89.99"/>
    <x v="0"/>
    <x v="2"/>
    <x v="1"/>
    <d v="2022-12-24T00:00:00"/>
    <n v="449.95"/>
    <d v="2026-10-28T17:39:48"/>
    <s v="Low"/>
  </r>
  <r>
    <x v="28"/>
    <x v="15"/>
    <s v="CUST030"/>
    <s v="Helen Roberts"/>
    <s v="P005"/>
    <x v="1"/>
    <x v="1"/>
    <n v="2"/>
    <n v="59.99"/>
    <x v="3"/>
    <x v="0"/>
    <x v="2"/>
    <d v="2023-10-15T00:00:00"/>
    <n v="119.98"/>
    <d v="2026-10-28T17:39:48"/>
    <s v="Low"/>
  </r>
  <r>
    <x v="29"/>
    <x v="16"/>
    <s v="CUST029"/>
    <s v="Edward Mitchell"/>
    <s v="P005"/>
    <x v="1"/>
    <x v="1"/>
    <n v="4"/>
    <n v="59.99"/>
    <x v="3"/>
    <x v="4"/>
    <x v="2"/>
    <d v="2022-11-02T00:00:00"/>
    <n v="239.96"/>
    <d v="2026-10-28T17:39:48"/>
    <s v="Low"/>
  </r>
  <r>
    <x v="30"/>
    <x v="16"/>
    <s v="CUST017"/>
    <s v="Charles Allen"/>
    <s v="P006"/>
    <x v="9"/>
    <x v="2"/>
    <n v="5"/>
    <n v="199.99"/>
    <x v="0"/>
    <x v="1"/>
    <x v="2"/>
    <d v="2021-08-04T00:00:00"/>
    <n v="999.95"/>
    <d v="2026-10-28T17:39:48"/>
    <s v="Medium"/>
  </r>
  <r>
    <x v="31"/>
    <x v="17"/>
    <s v="CUST006"/>
    <s v="Lisa Anderson"/>
    <s v="P008"/>
    <x v="2"/>
    <x v="2"/>
    <n v="2"/>
    <n v="149.99"/>
    <x v="1"/>
    <x v="3"/>
    <x v="0"/>
    <d v="2022-09-19T00:00:00"/>
    <n v="299.98"/>
    <d v="2026-10-28T17:39:48"/>
    <s v="Low"/>
  </r>
  <r>
    <x v="32"/>
    <x v="18"/>
    <s v="CUST002"/>
    <s v="Emma Wilson"/>
    <s v="P008"/>
    <x v="2"/>
    <x v="2"/>
    <n v="3"/>
    <n v="149.99"/>
    <x v="1"/>
    <x v="3"/>
    <x v="1"/>
    <d v="2023-05-22T00:00:00"/>
    <n v="449.97"/>
    <d v="2026-10-28T17:39:48"/>
    <s v="Low"/>
  </r>
  <r>
    <x v="33"/>
    <x v="19"/>
    <s v="CUST021"/>
    <s v="Kevin Scott"/>
    <s v="P001"/>
    <x v="4"/>
    <x v="0"/>
    <n v="1"/>
    <n v="899.99"/>
    <x v="1"/>
    <x v="3"/>
    <x v="1"/>
    <d v="2022-01-17T00:00:00"/>
    <n v="899.99"/>
    <d v="2026-10-28T17:39:48"/>
    <s v="Medium"/>
  </r>
  <r>
    <x v="34"/>
    <x v="20"/>
    <s v="CUST012"/>
    <s v="Patricia Moore"/>
    <s v="P007"/>
    <x v="6"/>
    <x v="2"/>
    <n v="3"/>
    <n v="299.99"/>
    <x v="1"/>
    <x v="4"/>
    <x v="0"/>
    <d v="2022-09-20T00:00:00"/>
    <n v="899.97"/>
    <d v="2026-10-28T17:39:48"/>
    <s v="Medium"/>
  </r>
  <r>
    <x v="35"/>
    <x v="21"/>
    <s v="CUST006"/>
    <s v="Lisa Anderson"/>
    <s v="P004"/>
    <x v="7"/>
    <x v="1"/>
    <n v="3"/>
    <n v="79.989999999999995"/>
    <x v="0"/>
    <x v="1"/>
    <x v="0"/>
    <d v="2023-04-30T00:00:00"/>
    <n v="239.97"/>
    <d v="2026-10-28T17:39:48"/>
    <s v="Low"/>
  </r>
  <r>
    <x v="36"/>
    <x v="22"/>
    <s v="CUST031"/>
    <s v="Steven Turner"/>
    <s v="P006"/>
    <x v="9"/>
    <x v="2"/>
    <n v="3"/>
    <n v="199.99"/>
    <x v="1"/>
    <x v="2"/>
    <x v="1"/>
    <d v="2024-01-01T00:00:00"/>
    <n v="599.97"/>
    <d v="2026-10-28T17:39:48"/>
    <s v="Medium"/>
  </r>
  <r>
    <x v="37"/>
    <x v="23"/>
    <s v="CUST008"/>
    <s v="Jennifer Taylor"/>
    <s v="P002"/>
    <x v="5"/>
    <x v="0"/>
    <n v="5"/>
    <n v="699.99"/>
    <x v="2"/>
    <x v="3"/>
    <x v="2"/>
    <d v="2021-07-30T00:00:00"/>
    <n v="3499.95"/>
    <d v="2026-10-28T17:39:48"/>
    <s v="High"/>
  </r>
  <r>
    <x v="38"/>
    <x v="24"/>
    <s v="CUST035"/>
    <s v="Harry Morgan"/>
    <s v="P010"/>
    <x v="8"/>
    <x v="0"/>
    <n v="3"/>
    <n v="89.99"/>
    <x v="2"/>
    <x v="0"/>
    <x v="1"/>
    <d v="2023-07-13T00:00:00"/>
    <n v="269.97000000000003"/>
    <d v="2026-10-28T17:39:48"/>
    <s v="Low"/>
  </r>
  <r>
    <x v="39"/>
    <x v="25"/>
    <s v="CUST019"/>
    <s v="Daniel King"/>
    <s v="P004"/>
    <x v="7"/>
    <x v="1"/>
    <n v="1"/>
    <n v="79.989999999999995"/>
    <x v="0"/>
    <x v="2"/>
    <x v="2"/>
    <d v="2022-12-22T00:00:00"/>
    <n v="79.989999999999995"/>
    <d v="2026-10-28T17:39:48"/>
    <s v="Low"/>
  </r>
  <r>
    <x v="40"/>
    <x v="26"/>
    <s v="CUST040"/>
    <s v="Sharon Butler"/>
    <s v="P005"/>
    <x v="1"/>
    <x v="1"/>
    <n v="2"/>
    <n v="59.99"/>
    <x v="0"/>
    <x v="3"/>
    <x v="0"/>
    <d v="2024-04-08T00:00:00"/>
    <n v="119.98"/>
    <d v="2026-10-28T17:39:48"/>
    <s v="Low"/>
  </r>
  <r>
    <x v="41"/>
    <x v="26"/>
    <s v="CUST017"/>
    <s v="Charles Allen"/>
    <s v="P010"/>
    <x v="8"/>
    <x v="0"/>
    <n v="1"/>
    <n v="89.99"/>
    <x v="0"/>
    <x v="2"/>
    <x v="0"/>
    <d v="2023-08-03T00:00:00"/>
    <n v="89.99"/>
    <d v="2026-10-28T17:39:48"/>
    <s v="Low"/>
  </r>
  <r>
    <x v="42"/>
    <x v="27"/>
    <s v="CUST004"/>
    <s v="Sarah Davis"/>
    <s v="P010"/>
    <x v="8"/>
    <x v="0"/>
    <n v="5"/>
    <n v="89.99"/>
    <x v="1"/>
    <x v="4"/>
    <x v="2"/>
    <d v="2022-01-26T00:00:00"/>
    <n v="449.95"/>
    <d v="2026-10-28T17:39:48"/>
    <s v="Low"/>
  </r>
  <r>
    <x v="43"/>
    <x v="28"/>
    <s v="CUST013"/>
    <s v="Joseph Jackson"/>
    <s v="P009"/>
    <x v="0"/>
    <x v="0"/>
    <n v="5"/>
    <n v="249.99"/>
    <x v="1"/>
    <x v="4"/>
    <x v="2"/>
    <d v="2022-05-26T00:00:00"/>
    <n v="1249.95"/>
    <d v="2026-10-28T17:39:48"/>
    <s v="High"/>
  </r>
  <r>
    <x v="44"/>
    <x v="28"/>
    <s v="CUST028"/>
    <s v="Betty Campbell"/>
    <s v="P010"/>
    <x v="8"/>
    <x v="0"/>
    <n v="1"/>
    <n v="89.99"/>
    <x v="1"/>
    <x v="1"/>
    <x v="2"/>
    <d v="2022-01-21T00:00:00"/>
    <n v="89.99"/>
    <d v="2026-10-28T17:39:48"/>
    <s v="Low"/>
  </r>
  <r>
    <x v="45"/>
    <x v="29"/>
    <s v="CUST003"/>
    <s v="Michael Brown"/>
    <s v="P008"/>
    <x v="2"/>
    <x v="2"/>
    <n v="2"/>
    <n v="149.99"/>
    <x v="0"/>
    <x v="4"/>
    <x v="1"/>
    <d v="2022-03-25T00:00:00"/>
    <n v="299.98"/>
    <d v="2026-10-28T17:39:48"/>
    <s v="Low"/>
  </r>
  <r>
    <x v="46"/>
    <x v="30"/>
    <s v="CUST050"/>
    <s v="Julie Foster"/>
    <s v="P005"/>
    <x v="1"/>
    <x v="1"/>
    <n v="4"/>
    <n v="59.99"/>
    <x v="0"/>
    <x v="4"/>
    <x v="2"/>
    <d v="2021-08-27T00:00:00"/>
    <n v="239.96"/>
    <d v="2026-10-28T17:39:48"/>
    <s v="Low"/>
  </r>
  <r>
    <x v="47"/>
    <x v="31"/>
    <s v="CUST006"/>
    <s v="Lisa Anderson"/>
    <s v="P010"/>
    <x v="8"/>
    <x v="0"/>
    <n v="5"/>
    <n v="89.99"/>
    <x v="0"/>
    <x v="0"/>
    <x v="1"/>
    <d v="2022-01-18T00:00:00"/>
    <n v="449.95"/>
    <d v="2026-10-28T17:39:48"/>
    <s v="Low"/>
  </r>
  <r>
    <x v="48"/>
    <x v="32"/>
    <s v="CUST012"/>
    <s v="Patricia Moore"/>
    <s v="P010"/>
    <x v="8"/>
    <x v="0"/>
    <n v="2"/>
    <n v="89.99"/>
    <x v="1"/>
    <x v="1"/>
    <x v="1"/>
    <d v="2021-10-02T00:00:00"/>
    <n v="179.98"/>
    <d v="2026-10-28T17:39:48"/>
    <s v="Low"/>
  </r>
  <r>
    <x v="49"/>
    <x v="32"/>
    <s v="CUST023"/>
    <s v="Paul Baker"/>
    <s v="P001"/>
    <x v="4"/>
    <x v="0"/>
    <n v="5"/>
    <n v="899.99"/>
    <x v="1"/>
    <x v="1"/>
    <x v="2"/>
    <d v="2023-02-17T00:00:00"/>
    <n v="4499.95"/>
    <d v="2026-10-28T17:39:48"/>
    <s v="High"/>
  </r>
  <r>
    <x v="50"/>
    <x v="32"/>
    <s v="CUST029"/>
    <s v="Edward Mitchell"/>
    <s v="P001"/>
    <x v="4"/>
    <x v="0"/>
    <n v="5"/>
    <n v="899.99"/>
    <x v="2"/>
    <x v="4"/>
    <x v="1"/>
    <d v="2023-12-18T00:00:00"/>
    <n v="4499.95"/>
    <d v="2026-10-28T17:39:48"/>
    <s v="High"/>
  </r>
  <r>
    <x v="51"/>
    <x v="33"/>
    <s v="CUST028"/>
    <s v="Betty Campbell"/>
    <s v="P005"/>
    <x v="1"/>
    <x v="1"/>
    <n v="1"/>
    <n v="59.99"/>
    <x v="3"/>
    <x v="3"/>
    <x v="1"/>
    <d v="2023-09-21T00:00:00"/>
    <n v="59.99"/>
    <d v="2026-10-28T17:39:48"/>
    <s v="Low"/>
  </r>
  <r>
    <x v="52"/>
    <x v="33"/>
    <s v="CUST008"/>
    <s v="Jennifer Taylor"/>
    <s v="P007"/>
    <x v="6"/>
    <x v="2"/>
    <n v="2"/>
    <n v="299.99"/>
    <x v="3"/>
    <x v="4"/>
    <x v="2"/>
    <d v="2023-11-23T00:00:00"/>
    <n v="599.98"/>
    <d v="2026-10-28T17:39:48"/>
    <s v="Medium"/>
  </r>
  <r>
    <x v="53"/>
    <x v="34"/>
    <s v="CUST049"/>
    <s v="Raymond Ross"/>
    <s v="P010"/>
    <x v="8"/>
    <x v="0"/>
    <n v="4"/>
    <n v="89.99"/>
    <x v="3"/>
    <x v="1"/>
    <x v="0"/>
    <d v="2023-12-21T00:00:00"/>
    <n v="359.96"/>
    <d v="2026-10-28T17:39:48"/>
    <s v="Low"/>
  </r>
  <r>
    <x v="54"/>
    <x v="35"/>
    <s v="CUST021"/>
    <s v="Kevin Scott"/>
    <s v="P004"/>
    <x v="7"/>
    <x v="1"/>
    <n v="1"/>
    <n v="79.989999999999995"/>
    <x v="2"/>
    <x v="0"/>
    <x v="1"/>
    <d v="2024-03-01T00:00:00"/>
    <n v="79.989999999999995"/>
    <d v="2026-10-28T17:39:48"/>
    <s v="Low"/>
  </r>
  <r>
    <x v="55"/>
    <x v="35"/>
    <s v="CUST009"/>
    <s v="Robert Thomas"/>
    <s v="P010"/>
    <x v="8"/>
    <x v="0"/>
    <n v="2"/>
    <n v="89.99"/>
    <x v="0"/>
    <x v="3"/>
    <x v="0"/>
    <d v="2021-08-30T00:00:00"/>
    <n v="179.98"/>
    <d v="2026-10-28T17:39:48"/>
    <s v="Low"/>
  </r>
  <r>
    <x v="56"/>
    <x v="36"/>
    <s v="CUST046"/>
    <s v="Kathleen Bennett"/>
    <s v="P002"/>
    <x v="5"/>
    <x v="0"/>
    <n v="3"/>
    <n v="699.99"/>
    <x v="1"/>
    <x v="4"/>
    <x v="1"/>
    <d v="2023-06-25T00:00:00"/>
    <n v="2099.9699999999998"/>
    <d v="2026-10-28T17:39:48"/>
    <s v="High"/>
  </r>
  <r>
    <x v="57"/>
    <x v="36"/>
    <s v="CUST012"/>
    <s v="Patricia Moore"/>
    <s v="P001"/>
    <x v="4"/>
    <x v="0"/>
    <n v="4"/>
    <n v="899.99"/>
    <x v="1"/>
    <x v="4"/>
    <x v="1"/>
    <d v="2023-03-08T00:00:00"/>
    <n v="3599.96"/>
    <d v="2026-10-28T17:39:48"/>
    <s v="High"/>
  </r>
  <r>
    <x v="58"/>
    <x v="37"/>
    <s v="CUST030"/>
    <s v="Helen Roberts"/>
    <s v="P008"/>
    <x v="2"/>
    <x v="2"/>
    <n v="1"/>
    <n v="149.99"/>
    <x v="2"/>
    <x v="4"/>
    <x v="0"/>
    <d v="2022-10-17T00:00:00"/>
    <n v="149.99"/>
    <d v="2026-10-28T17:39:48"/>
    <s v="Low"/>
  </r>
  <r>
    <x v="59"/>
    <x v="38"/>
    <s v="CUST002"/>
    <s v="Emma Wilson"/>
    <s v="P010"/>
    <x v="8"/>
    <x v="0"/>
    <n v="2"/>
    <n v="89.99"/>
    <x v="2"/>
    <x v="0"/>
    <x v="1"/>
    <d v="2023-12-15T00:00:00"/>
    <n v="179.98"/>
    <d v="2026-10-28T17:39:48"/>
    <s v="Low"/>
  </r>
  <r>
    <x v="60"/>
    <x v="39"/>
    <s v="CUST017"/>
    <s v="Charles Allen"/>
    <s v="P010"/>
    <x v="8"/>
    <x v="0"/>
    <n v="1"/>
    <n v="89.99"/>
    <x v="2"/>
    <x v="3"/>
    <x v="2"/>
    <d v="2022-08-29T00:00:00"/>
    <n v="89.99"/>
    <d v="2026-10-28T17:39:48"/>
    <s v="Low"/>
  </r>
  <r>
    <x v="61"/>
    <x v="40"/>
    <s v="CUST022"/>
    <s v="Susan Green"/>
    <s v="P010"/>
    <x v="8"/>
    <x v="0"/>
    <n v="1"/>
    <n v="89.99"/>
    <x v="0"/>
    <x v="1"/>
    <x v="2"/>
    <d v="2022-02-19T00:00:00"/>
    <n v="89.99"/>
    <d v="2026-10-28T17:39:48"/>
    <s v="Low"/>
  </r>
  <r>
    <x v="62"/>
    <x v="40"/>
    <s v="CUST007"/>
    <s v="David Martinez"/>
    <s v="P004"/>
    <x v="7"/>
    <x v="1"/>
    <n v="5"/>
    <n v="79.989999999999995"/>
    <x v="3"/>
    <x v="0"/>
    <x v="0"/>
    <d v="2023-02-24T00:00:00"/>
    <n v="399.95"/>
    <d v="2026-10-28T17:39:48"/>
    <s v="Low"/>
  </r>
  <r>
    <x v="63"/>
    <x v="41"/>
    <s v="CUST020"/>
    <s v="Margaret Wright"/>
    <s v="P008"/>
    <x v="2"/>
    <x v="2"/>
    <n v="1"/>
    <n v="149.99"/>
    <x v="2"/>
    <x v="2"/>
    <x v="0"/>
    <d v="2021-08-13T00:00:00"/>
    <n v="149.99"/>
    <d v="2026-10-28T17:39:48"/>
    <s v="Low"/>
  </r>
  <r>
    <x v="64"/>
    <x v="41"/>
    <s v="CUST003"/>
    <s v="Michael Brown"/>
    <s v="P002"/>
    <x v="5"/>
    <x v="0"/>
    <n v="2"/>
    <n v="699.99"/>
    <x v="2"/>
    <x v="4"/>
    <x v="1"/>
    <d v="2024-04-07T00:00:00"/>
    <n v="1399.98"/>
    <d v="2026-10-28T17:39:48"/>
    <s v="High"/>
  </r>
  <r>
    <x v="65"/>
    <x v="41"/>
    <s v="CUST018"/>
    <s v="Barbara Young"/>
    <s v="P010"/>
    <x v="8"/>
    <x v="0"/>
    <n v="5"/>
    <n v="89.99"/>
    <x v="3"/>
    <x v="2"/>
    <x v="1"/>
    <d v="2023-08-23T00:00:00"/>
    <n v="449.95"/>
    <d v="2026-10-28T17:39:48"/>
    <s v="Low"/>
  </r>
  <r>
    <x v="66"/>
    <x v="42"/>
    <s v="CUST049"/>
    <s v="Raymond Ross"/>
    <s v="P005"/>
    <x v="1"/>
    <x v="1"/>
    <n v="4"/>
    <n v="59.99"/>
    <x v="0"/>
    <x v="1"/>
    <x v="2"/>
    <d v="2021-11-09T00:00:00"/>
    <n v="239.96"/>
    <d v="2026-10-28T17:39:48"/>
    <s v="Low"/>
  </r>
  <r>
    <x v="67"/>
    <x v="43"/>
    <s v="CUST013"/>
    <s v="Joseph Jackson"/>
    <s v="P003"/>
    <x v="3"/>
    <x v="0"/>
    <n v="1"/>
    <n v="149.99"/>
    <x v="0"/>
    <x v="0"/>
    <x v="2"/>
    <d v="2022-12-14T00:00:00"/>
    <n v="149.99"/>
    <d v="2026-10-28T17:39:48"/>
    <s v="Low"/>
  </r>
  <r>
    <x v="68"/>
    <x v="43"/>
    <s v="CUST033"/>
    <s v="Frank Torres"/>
    <s v="P007"/>
    <x v="6"/>
    <x v="2"/>
    <n v="1"/>
    <n v="299.99"/>
    <x v="1"/>
    <x v="2"/>
    <x v="1"/>
    <d v="2022-11-26T00:00:00"/>
    <n v="299.99"/>
    <d v="2026-10-28T17:39:48"/>
    <s v="Low"/>
  </r>
  <r>
    <x v="69"/>
    <x v="44"/>
    <s v="CUST033"/>
    <s v="Frank Torres"/>
    <s v="P006"/>
    <x v="9"/>
    <x v="2"/>
    <n v="2"/>
    <n v="199.99"/>
    <x v="0"/>
    <x v="2"/>
    <x v="0"/>
    <d v="2021-12-11T00:00:00"/>
    <n v="399.98"/>
    <d v="2026-10-28T17:39:48"/>
    <s v="Low"/>
  </r>
  <r>
    <x v="70"/>
    <x v="45"/>
    <s v="CUST047"/>
    <s v="Gerald Murphy"/>
    <s v="P005"/>
    <x v="1"/>
    <x v="1"/>
    <n v="3"/>
    <n v="59.99"/>
    <x v="1"/>
    <x v="3"/>
    <x v="0"/>
    <d v="2023-07-23T00:00:00"/>
    <n v="179.97"/>
    <d v="2026-10-28T17:39:48"/>
    <s v="Low"/>
  </r>
  <r>
    <x v="71"/>
    <x v="45"/>
    <s v="CUST041"/>
    <s v="Peter Richardson"/>
    <s v="P008"/>
    <x v="2"/>
    <x v="2"/>
    <n v="3"/>
    <n v="149.99"/>
    <x v="0"/>
    <x v="0"/>
    <x v="1"/>
    <d v="2023-09-30T00:00:00"/>
    <n v="449.97"/>
    <d v="2026-10-28T17:39:48"/>
    <s v="Low"/>
  </r>
  <r>
    <x v="72"/>
    <x v="46"/>
    <s v="CUST026"/>
    <s v="Karen Hill"/>
    <s v="P006"/>
    <x v="9"/>
    <x v="2"/>
    <n v="3"/>
    <n v="199.99"/>
    <x v="0"/>
    <x v="2"/>
    <x v="1"/>
    <d v="2023-11-24T00:00:00"/>
    <n v="599.97"/>
    <d v="2026-10-28T17:39:48"/>
    <s v="Medium"/>
  </r>
  <r>
    <x v="73"/>
    <x v="47"/>
    <s v="CUST040"/>
    <s v="Sharon Butler"/>
    <s v="P001"/>
    <x v="4"/>
    <x v="0"/>
    <n v="1"/>
    <n v="899.99"/>
    <x v="0"/>
    <x v="0"/>
    <x v="2"/>
    <d v="2023-09-10T00:00:00"/>
    <n v="899.99"/>
    <d v="2026-10-28T17:39:48"/>
    <s v="Medium"/>
  </r>
  <r>
    <x v="74"/>
    <x v="48"/>
    <s v="CUST013"/>
    <s v="Joseph Jackson"/>
    <s v="P001"/>
    <x v="4"/>
    <x v="0"/>
    <n v="5"/>
    <n v="899.99"/>
    <x v="3"/>
    <x v="1"/>
    <x v="2"/>
    <d v="2022-12-04T00:00:00"/>
    <n v="4499.95"/>
    <d v="2026-10-28T17:39:48"/>
    <s v="High"/>
  </r>
  <r>
    <x v="75"/>
    <x v="49"/>
    <s v="CUST007"/>
    <s v="David Martinez"/>
    <s v="P005"/>
    <x v="1"/>
    <x v="1"/>
    <n v="2"/>
    <n v="59.99"/>
    <x v="0"/>
    <x v="2"/>
    <x v="2"/>
    <d v="2023-08-14T00:00:00"/>
    <n v="119.98"/>
    <d v="2026-10-28T17:39:48"/>
    <s v="Low"/>
  </r>
  <r>
    <x v="76"/>
    <x v="49"/>
    <s v="CUST047"/>
    <s v="Gerald Murphy"/>
    <s v="P009"/>
    <x v="0"/>
    <x v="0"/>
    <n v="4"/>
    <n v="249.99"/>
    <x v="3"/>
    <x v="0"/>
    <x v="2"/>
    <d v="2023-07-20T00:00:00"/>
    <n v="999.96"/>
    <d v="2026-10-28T17:39:48"/>
    <s v="Medium"/>
  </r>
  <r>
    <x v="77"/>
    <x v="50"/>
    <s v="CUST018"/>
    <s v="Barbara Young"/>
    <s v="P009"/>
    <x v="0"/>
    <x v="0"/>
    <n v="2"/>
    <n v="249.99"/>
    <x v="0"/>
    <x v="2"/>
    <x v="1"/>
    <d v="2023-08-26T00:00:00"/>
    <n v="499.98"/>
    <d v="2026-10-28T17:39:48"/>
    <s v="Low"/>
  </r>
  <r>
    <x v="78"/>
    <x v="50"/>
    <s v="CUST019"/>
    <s v="Daniel King"/>
    <s v="P007"/>
    <x v="6"/>
    <x v="2"/>
    <n v="1"/>
    <n v="299.99"/>
    <x v="0"/>
    <x v="1"/>
    <x v="0"/>
    <d v="2023-02-25T00:00:00"/>
    <n v="299.99"/>
    <d v="2026-10-28T17:39:48"/>
    <s v="Low"/>
  </r>
  <r>
    <x v="79"/>
    <x v="51"/>
    <s v="CUST025"/>
    <s v="Mark Carter"/>
    <s v="P010"/>
    <x v="8"/>
    <x v="0"/>
    <n v="2"/>
    <n v="89.99"/>
    <x v="2"/>
    <x v="1"/>
    <x v="0"/>
    <d v="2023-02-19T00:00:00"/>
    <n v="179.98"/>
    <d v="2026-10-28T17:39:48"/>
    <s v="Low"/>
  </r>
  <r>
    <x v="80"/>
    <x v="51"/>
    <s v="CUST019"/>
    <s v="Daniel King"/>
    <s v="P007"/>
    <x v="6"/>
    <x v="2"/>
    <n v="3"/>
    <n v="299.99"/>
    <x v="0"/>
    <x v="0"/>
    <x v="0"/>
    <d v="2022-06-20T00:00:00"/>
    <n v="899.97"/>
    <d v="2026-10-28T17:39:48"/>
    <s v="Medium"/>
  </r>
  <r>
    <x v="81"/>
    <x v="52"/>
    <s v="CUST025"/>
    <s v="Mark Carter"/>
    <s v="P002"/>
    <x v="5"/>
    <x v="0"/>
    <n v="2"/>
    <n v="699.99"/>
    <x v="1"/>
    <x v="2"/>
    <x v="1"/>
    <d v="2023-03-14T00:00:00"/>
    <n v="1399.98"/>
    <d v="2026-10-28T17:39:48"/>
    <s v="High"/>
  </r>
  <r>
    <x v="82"/>
    <x v="53"/>
    <s v="CUST030"/>
    <s v="Helen Roberts"/>
    <s v="P001"/>
    <x v="4"/>
    <x v="0"/>
    <n v="4"/>
    <n v="899.99"/>
    <x v="3"/>
    <x v="1"/>
    <x v="2"/>
    <d v="2021-11-23T00:00:00"/>
    <n v="3599.96"/>
    <d v="2026-10-28T17:39:48"/>
    <s v="High"/>
  </r>
  <r>
    <x v="83"/>
    <x v="54"/>
    <s v="CUST016"/>
    <s v="Elizabeth Hall"/>
    <s v="P008"/>
    <x v="2"/>
    <x v="2"/>
    <n v="2"/>
    <n v="149.99"/>
    <x v="1"/>
    <x v="3"/>
    <x v="0"/>
    <d v="2021-12-12T00:00:00"/>
    <n v="299.98"/>
    <d v="2026-10-28T17:39:48"/>
    <s v="Low"/>
  </r>
  <r>
    <x v="84"/>
    <x v="55"/>
    <s v="CUST044"/>
    <s v="Cynthia Price"/>
    <s v="P008"/>
    <x v="2"/>
    <x v="2"/>
    <n v="2"/>
    <n v="149.99"/>
    <x v="3"/>
    <x v="4"/>
    <x v="2"/>
    <d v="2022-04-16T00:00:00"/>
    <n v="299.98"/>
    <d v="2026-10-28T17:39:48"/>
    <s v="Low"/>
  </r>
  <r>
    <x v="85"/>
    <x v="56"/>
    <s v="CUST010"/>
    <s v="Maria Garcia"/>
    <s v="P010"/>
    <x v="8"/>
    <x v="0"/>
    <n v="1"/>
    <n v="89.99"/>
    <x v="1"/>
    <x v="2"/>
    <x v="2"/>
    <d v="2024-04-11T00:00:00"/>
    <n v="89.99"/>
    <d v="2026-10-28T17:39:48"/>
    <s v="Low"/>
  </r>
  <r>
    <x v="86"/>
    <x v="57"/>
    <s v="CUST025"/>
    <s v="Mark Carter"/>
    <s v="P007"/>
    <x v="6"/>
    <x v="2"/>
    <n v="5"/>
    <n v="299.99"/>
    <x v="1"/>
    <x v="2"/>
    <x v="0"/>
    <d v="2023-02-08T00:00:00"/>
    <n v="1499.95"/>
    <d v="2026-10-28T17:39:48"/>
    <s v="High"/>
  </r>
  <r>
    <x v="87"/>
    <x v="58"/>
    <s v="CUST007"/>
    <s v="David Martinez"/>
    <s v="P003"/>
    <x v="3"/>
    <x v="0"/>
    <n v="4"/>
    <n v="149.99"/>
    <x v="3"/>
    <x v="1"/>
    <x v="1"/>
    <d v="2022-09-16T00:00:00"/>
    <n v="599.96"/>
    <d v="2026-10-28T17:39:48"/>
    <s v="Medium"/>
  </r>
  <r>
    <x v="88"/>
    <x v="58"/>
    <s v="CUST020"/>
    <s v="Margaret Wright"/>
    <s v="P009"/>
    <x v="0"/>
    <x v="0"/>
    <n v="5"/>
    <n v="249.99"/>
    <x v="2"/>
    <x v="4"/>
    <x v="1"/>
    <d v="2022-08-09T00:00:00"/>
    <n v="1249.95"/>
    <d v="2026-10-28T17:39:48"/>
    <s v="High"/>
  </r>
  <r>
    <x v="89"/>
    <x v="58"/>
    <s v="CUST026"/>
    <s v="Karen Hill"/>
    <s v="P009"/>
    <x v="0"/>
    <x v="0"/>
    <n v="3"/>
    <n v="249.99"/>
    <x v="2"/>
    <x v="2"/>
    <x v="1"/>
    <d v="2021-09-26T00:00:00"/>
    <n v="749.97"/>
    <d v="2026-10-28T17:39:48"/>
    <s v="Medium"/>
  </r>
  <r>
    <x v="90"/>
    <x v="58"/>
    <s v="CUST046"/>
    <s v="Kathleen Bennett"/>
    <s v="P006"/>
    <x v="9"/>
    <x v="2"/>
    <n v="4"/>
    <n v="199.99"/>
    <x v="0"/>
    <x v="2"/>
    <x v="2"/>
    <d v="2021-09-19T00:00:00"/>
    <n v="799.96"/>
    <d v="2026-10-28T17:39:48"/>
    <s v="Medium"/>
  </r>
  <r>
    <x v="91"/>
    <x v="59"/>
    <s v="CUST028"/>
    <s v="Betty Campbell"/>
    <s v="P006"/>
    <x v="9"/>
    <x v="2"/>
    <n v="5"/>
    <n v="199.99"/>
    <x v="0"/>
    <x v="2"/>
    <x v="1"/>
    <d v="2023-03-06T00:00:00"/>
    <n v="999.95"/>
    <d v="2026-10-28T17:39:48"/>
    <s v="Medium"/>
  </r>
  <r>
    <x v="92"/>
    <x v="60"/>
    <s v="CUST025"/>
    <s v="Mark Carter"/>
    <s v="P010"/>
    <x v="8"/>
    <x v="0"/>
    <n v="2"/>
    <n v="89.99"/>
    <x v="0"/>
    <x v="4"/>
    <x v="1"/>
    <d v="2023-02-15T00:00:00"/>
    <n v="179.98"/>
    <d v="2026-10-28T17:39:48"/>
    <s v="Low"/>
  </r>
  <r>
    <x v="93"/>
    <x v="61"/>
    <s v="CUST047"/>
    <s v="Gerald Murphy"/>
    <s v="P001"/>
    <x v="4"/>
    <x v="0"/>
    <n v="5"/>
    <n v="899.99"/>
    <x v="3"/>
    <x v="4"/>
    <x v="0"/>
    <d v="2021-11-26T00:00:00"/>
    <n v="4499.95"/>
    <d v="2026-10-28T17:39:48"/>
    <s v="High"/>
  </r>
  <r>
    <x v="94"/>
    <x v="61"/>
    <s v="CUST036"/>
    <s v="Nancy Collins"/>
    <s v="P003"/>
    <x v="3"/>
    <x v="0"/>
    <n v="3"/>
    <n v="149.99"/>
    <x v="2"/>
    <x v="4"/>
    <x v="0"/>
    <d v="2022-01-13T00:00:00"/>
    <n v="449.97"/>
    <d v="2026-10-28T17:39:48"/>
    <s v="Low"/>
  </r>
  <r>
    <x v="95"/>
    <x v="62"/>
    <s v="CUST044"/>
    <s v="Cynthia Price"/>
    <s v="P008"/>
    <x v="2"/>
    <x v="2"/>
    <n v="5"/>
    <n v="149.99"/>
    <x v="1"/>
    <x v="0"/>
    <x v="0"/>
    <d v="2024-01-19T00:00:00"/>
    <n v="749.95"/>
    <d v="2026-10-28T17:39:48"/>
    <s v="Medium"/>
  </r>
  <r>
    <x v="96"/>
    <x v="63"/>
    <s v="CUST039"/>
    <s v="Lawrence Reed"/>
    <s v="P004"/>
    <x v="7"/>
    <x v="1"/>
    <n v="3"/>
    <n v="79.989999999999995"/>
    <x v="0"/>
    <x v="0"/>
    <x v="1"/>
    <d v="2022-08-06T00:00:00"/>
    <n v="239.97"/>
    <d v="2026-10-28T17:39:48"/>
    <s v="Low"/>
  </r>
  <r>
    <x v="97"/>
    <x v="63"/>
    <s v="CUST035"/>
    <s v="Harry Morgan"/>
    <s v="P009"/>
    <x v="0"/>
    <x v="0"/>
    <n v="2"/>
    <n v="249.99"/>
    <x v="0"/>
    <x v="1"/>
    <x v="2"/>
    <d v="2022-01-11T00:00:00"/>
    <n v="499.98"/>
    <d v="2026-10-28T17:39:48"/>
    <s v="Low"/>
  </r>
  <r>
    <x v="98"/>
    <x v="64"/>
    <s v="CUST047"/>
    <s v="Gerald Murphy"/>
    <s v="P002"/>
    <x v="5"/>
    <x v="0"/>
    <n v="1"/>
    <n v="699.99"/>
    <x v="0"/>
    <x v="0"/>
    <x v="1"/>
    <d v="2021-10-28T00:00:00"/>
    <n v="699.99"/>
    <d v="2026-10-28T17:39:48"/>
    <s v="Medium"/>
  </r>
  <r>
    <x v="99"/>
    <x v="64"/>
    <s v="CUST034"/>
    <s v="Carol Evans"/>
    <s v="P003"/>
    <x v="3"/>
    <x v="0"/>
    <n v="3"/>
    <n v="149.99"/>
    <x v="0"/>
    <x v="3"/>
    <x v="1"/>
    <d v="2023-10-13T00:00:00"/>
    <n v="449.97"/>
    <d v="2026-10-28T17:39:48"/>
    <s v="Low"/>
  </r>
  <r>
    <x v="100"/>
    <x v="65"/>
    <s v="CUST032"/>
    <s v="Sandra Phillips"/>
    <s v="P002"/>
    <x v="5"/>
    <x v="0"/>
    <n v="2"/>
    <n v="699.99"/>
    <x v="1"/>
    <x v="2"/>
    <x v="1"/>
    <d v="2021-08-13T00:00:00"/>
    <n v="1399.98"/>
    <d v="2026-10-28T17:39:48"/>
    <s v="High"/>
  </r>
  <r>
    <x v="101"/>
    <x v="66"/>
    <s v="CUST034"/>
    <s v="Carol Evans"/>
    <s v="P009"/>
    <x v="0"/>
    <x v="0"/>
    <n v="1"/>
    <n v="249.99"/>
    <x v="1"/>
    <x v="3"/>
    <x v="1"/>
    <d v="2022-05-04T00:00:00"/>
    <n v="249.99"/>
    <d v="2026-10-28T17:39:48"/>
    <s v="Low"/>
  </r>
  <r>
    <x v="102"/>
    <x v="66"/>
    <s v="CUST023"/>
    <s v="Paul Baker"/>
    <s v="P009"/>
    <x v="0"/>
    <x v="0"/>
    <n v="1"/>
    <n v="249.99"/>
    <x v="3"/>
    <x v="2"/>
    <x v="1"/>
    <d v="2024-02-10T00:00:00"/>
    <n v="249.99"/>
    <d v="2026-10-28T17:39:48"/>
    <s v="Low"/>
  </r>
  <r>
    <x v="103"/>
    <x v="67"/>
    <s v="CUST039"/>
    <s v="Lawrence Reed"/>
    <s v="P002"/>
    <x v="5"/>
    <x v="0"/>
    <n v="2"/>
    <n v="699.99"/>
    <x v="3"/>
    <x v="0"/>
    <x v="1"/>
    <d v="2022-11-05T00:00:00"/>
    <n v="1399.98"/>
    <d v="2026-10-28T17:39:48"/>
    <s v="High"/>
  </r>
  <r>
    <x v="104"/>
    <x v="68"/>
    <s v="CUST031"/>
    <s v="Steven Turner"/>
    <s v="P005"/>
    <x v="1"/>
    <x v="1"/>
    <n v="3"/>
    <n v="59.99"/>
    <x v="1"/>
    <x v="0"/>
    <x v="1"/>
    <d v="2022-06-05T00:00:00"/>
    <n v="179.97"/>
    <d v="2026-10-28T17:39:48"/>
    <s v="Low"/>
  </r>
  <r>
    <x v="105"/>
    <x v="69"/>
    <s v="CUST002"/>
    <s v="Emma Wilson"/>
    <s v="P005"/>
    <x v="1"/>
    <x v="1"/>
    <n v="3"/>
    <n v="59.99"/>
    <x v="2"/>
    <x v="4"/>
    <x v="2"/>
    <d v="2022-07-06T00:00:00"/>
    <n v="179.97"/>
    <d v="2026-10-28T17:39:48"/>
    <s v="Low"/>
  </r>
  <r>
    <x v="106"/>
    <x v="69"/>
    <s v="CUST008"/>
    <s v="Jennifer Taylor"/>
    <s v="P004"/>
    <x v="7"/>
    <x v="1"/>
    <n v="4"/>
    <n v="79.989999999999995"/>
    <x v="0"/>
    <x v="2"/>
    <x v="0"/>
    <d v="2021-11-30T00:00:00"/>
    <n v="319.95999999999998"/>
    <d v="2026-10-28T17:39:48"/>
    <s v="Low"/>
  </r>
  <r>
    <x v="107"/>
    <x v="70"/>
    <s v="CUST017"/>
    <s v="Charles Allen"/>
    <s v="P004"/>
    <x v="7"/>
    <x v="1"/>
    <n v="1"/>
    <n v="79.989999999999995"/>
    <x v="0"/>
    <x v="3"/>
    <x v="0"/>
    <d v="2022-05-12T00:00:00"/>
    <n v="79.989999999999995"/>
    <d v="2026-10-28T17:39:48"/>
    <s v="Low"/>
  </r>
  <r>
    <x v="108"/>
    <x v="71"/>
    <s v="CUST024"/>
    <s v="Dorothy Nelson"/>
    <s v="P007"/>
    <x v="6"/>
    <x v="2"/>
    <n v="3"/>
    <n v="299.99"/>
    <x v="1"/>
    <x v="0"/>
    <x v="1"/>
    <d v="2021-10-25T00:00:00"/>
    <n v="899.97"/>
    <d v="2026-10-28T17:39:48"/>
    <s v="Medium"/>
  </r>
  <r>
    <x v="109"/>
    <x v="72"/>
    <s v="CUST046"/>
    <s v="Kathleen Bennett"/>
    <s v="P010"/>
    <x v="8"/>
    <x v="0"/>
    <n v="2"/>
    <n v="89.99"/>
    <x v="1"/>
    <x v="1"/>
    <x v="1"/>
    <d v="2022-03-21T00:00:00"/>
    <n v="179.98"/>
    <d v="2026-10-28T17:39:48"/>
    <s v="Low"/>
  </r>
  <r>
    <x v="110"/>
    <x v="73"/>
    <s v="CUST042"/>
    <s v="Ruth Brooks"/>
    <s v="P003"/>
    <x v="3"/>
    <x v="0"/>
    <n v="4"/>
    <n v="149.99"/>
    <x v="0"/>
    <x v="2"/>
    <x v="0"/>
    <d v="2022-12-14T00:00:00"/>
    <n v="599.96"/>
    <d v="2026-10-28T17:39:48"/>
    <s v="Medium"/>
  </r>
  <r>
    <x v="111"/>
    <x v="74"/>
    <s v="CUST026"/>
    <s v="Karen Hill"/>
    <s v="P009"/>
    <x v="0"/>
    <x v="0"/>
    <n v="2"/>
    <n v="249.99"/>
    <x v="2"/>
    <x v="1"/>
    <x v="0"/>
    <d v="2023-03-08T00:00:00"/>
    <n v="499.98"/>
    <d v="2026-10-28T17:39:48"/>
    <s v="Low"/>
  </r>
  <r>
    <x v="112"/>
    <x v="74"/>
    <s v="CUST004"/>
    <s v="Sarah Davis"/>
    <s v="P006"/>
    <x v="9"/>
    <x v="2"/>
    <n v="4"/>
    <n v="199.99"/>
    <x v="3"/>
    <x v="4"/>
    <x v="0"/>
    <d v="2021-09-19T00:00:00"/>
    <n v="799.96"/>
    <d v="2026-10-28T17:39:48"/>
    <s v="Medium"/>
  </r>
  <r>
    <x v="113"/>
    <x v="75"/>
    <s v="CUST019"/>
    <s v="Daniel King"/>
    <s v="P010"/>
    <x v="8"/>
    <x v="0"/>
    <n v="5"/>
    <n v="89.99"/>
    <x v="1"/>
    <x v="4"/>
    <x v="1"/>
    <d v="2021-09-07T00:00:00"/>
    <n v="449.95"/>
    <d v="2026-10-28T17:39:48"/>
    <s v="Low"/>
  </r>
  <r>
    <x v="114"/>
    <x v="75"/>
    <s v="CUST011"/>
    <s v="William White"/>
    <s v="P003"/>
    <x v="3"/>
    <x v="0"/>
    <n v="1"/>
    <n v="149.99"/>
    <x v="2"/>
    <x v="4"/>
    <x v="2"/>
    <d v="2021-10-13T00:00:00"/>
    <n v="149.99"/>
    <d v="2026-10-28T17:39:48"/>
    <s v="Low"/>
  </r>
  <r>
    <x v="115"/>
    <x v="75"/>
    <s v="CUST041"/>
    <s v="Peter Richardson"/>
    <s v="P002"/>
    <x v="5"/>
    <x v="0"/>
    <n v="4"/>
    <n v="699.99"/>
    <x v="2"/>
    <x v="1"/>
    <x v="0"/>
    <d v="2022-02-26T00:00:00"/>
    <n v="2799.96"/>
    <d v="2026-10-28T17:39:48"/>
    <s v="High"/>
  </r>
  <r>
    <x v="116"/>
    <x v="76"/>
    <s v="CUST032"/>
    <s v="Sandra Phillips"/>
    <s v="P001"/>
    <x v="4"/>
    <x v="0"/>
    <n v="3"/>
    <n v="899.99"/>
    <x v="1"/>
    <x v="2"/>
    <x v="2"/>
    <d v="2023-08-19T00:00:00"/>
    <n v="2699.97"/>
    <d v="2026-10-28T17:39:48"/>
    <s v="High"/>
  </r>
  <r>
    <x v="117"/>
    <x v="77"/>
    <s v="CUST014"/>
    <s v="Linda Martin"/>
    <s v="P008"/>
    <x v="2"/>
    <x v="2"/>
    <n v="3"/>
    <n v="149.99"/>
    <x v="2"/>
    <x v="4"/>
    <x v="0"/>
    <d v="2022-11-21T00:00:00"/>
    <n v="449.97"/>
    <d v="2026-10-28T17:39:48"/>
    <s v="Low"/>
  </r>
  <r>
    <x v="118"/>
    <x v="78"/>
    <s v="CUST012"/>
    <s v="Patricia Moore"/>
    <s v="P007"/>
    <x v="6"/>
    <x v="2"/>
    <n v="2"/>
    <n v="299.99"/>
    <x v="3"/>
    <x v="0"/>
    <x v="0"/>
    <d v="2022-01-08T00:00:00"/>
    <n v="599.98"/>
    <d v="2026-10-28T17:39:48"/>
    <s v="Medium"/>
  </r>
  <r>
    <x v="119"/>
    <x v="79"/>
    <s v="CUST015"/>
    <s v="Richard Lee"/>
    <s v="P006"/>
    <x v="9"/>
    <x v="2"/>
    <n v="1"/>
    <n v="199.99"/>
    <x v="3"/>
    <x v="4"/>
    <x v="2"/>
    <d v="2023-01-27T00:00:00"/>
    <n v="199.99"/>
    <d v="2026-10-28T17:39:48"/>
    <s v="Low"/>
  </r>
  <r>
    <x v="120"/>
    <x v="80"/>
    <s v="CUST003"/>
    <s v="Michael Brown"/>
    <s v="P007"/>
    <x v="6"/>
    <x v="2"/>
    <n v="4"/>
    <n v="299.99"/>
    <x v="0"/>
    <x v="0"/>
    <x v="1"/>
    <d v="2021-09-21T00:00:00"/>
    <n v="1199.96"/>
    <d v="2026-10-28T17:39:48"/>
    <s v="High"/>
  </r>
  <r>
    <x v="121"/>
    <x v="81"/>
    <s v="CUST010"/>
    <s v="Maria Garcia"/>
    <s v="P005"/>
    <x v="1"/>
    <x v="1"/>
    <n v="2"/>
    <n v="59.99"/>
    <x v="1"/>
    <x v="0"/>
    <x v="0"/>
    <d v="2022-01-18T00:00:00"/>
    <n v="119.98"/>
    <d v="2026-10-28T17:39:48"/>
    <s v="Low"/>
  </r>
  <r>
    <x v="122"/>
    <x v="81"/>
    <s v="CUST032"/>
    <s v="Sandra Phillips"/>
    <s v="P003"/>
    <x v="3"/>
    <x v="0"/>
    <n v="4"/>
    <n v="149.99"/>
    <x v="1"/>
    <x v="2"/>
    <x v="1"/>
    <d v="2023-05-30T00:00:00"/>
    <n v="599.96"/>
    <d v="2026-10-28T17:39:48"/>
    <s v="Medium"/>
  </r>
  <r>
    <x v="123"/>
    <x v="82"/>
    <s v="CUST016"/>
    <s v="Elizabeth Hall"/>
    <s v="P002"/>
    <x v="5"/>
    <x v="0"/>
    <n v="2"/>
    <n v="699.99"/>
    <x v="3"/>
    <x v="4"/>
    <x v="1"/>
    <d v="2023-12-14T00:00:00"/>
    <n v="1399.98"/>
    <d v="2026-10-28T17:39:48"/>
    <s v="High"/>
  </r>
  <r>
    <x v="124"/>
    <x v="82"/>
    <s v="CUST034"/>
    <s v="Carol Evans"/>
    <s v="P008"/>
    <x v="2"/>
    <x v="2"/>
    <n v="3"/>
    <n v="149.99"/>
    <x v="1"/>
    <x v="1"/>
    <x v="2"/>
    <d v="2023-01-14T00:00:00"/>
    <n v="449.97"/>
    <d v="2026-10-28T17:39:48"/>
    <s v="Low"/>
  </r>
  <r>
    <x v="125"/>
    <x v="83"/>
    <s v="CUST019"/>
    <s v="Daniel King"/>
    <s v="P007"/>
    <x v="6"/>
    <x v="2"/>
    <n v="3"/>
    <n v="299.99"/>
    <x v="1"/>
    <x v="0"/>
    <x v="2"/>
    <d v="2023-09-05T00:00:00"/>
    <n v="899.97"/>
    <d v="2026-10-28T17:39:48"/>
    <s v="Medium"/>
  </r>
  <r>
    <x v="126"/>
    <x v="84"/>
    <s v="CUST027"/>
    <s v="George Adams"/>
    <s v="P001"/>
    <x v="4"/>
    <x v="0"/>
    <n v="3"/>
    <n v="899.99"/>
    <x v="2"/>
    <x v="3"/>
    <x v="0"/>
    <d v="2023-10-16T00:00:00"/>
    <n v="2699.97"/>
    <d v="2026-10-28T17:39:48"/>
    <s v="High"/>
  </r>
  <r>
    <x v="127"/>
    <x v="85"/>
    <s v="CUST018"/>
    <s v="Barbara Young"/>
    <s v="P002"/>
    <x v="5"/>
    <x v="0"/>
    <n v="5"/>
    <n v="699.99"/>
    <x v="0"/>
    <x v="4"/>
    <x v="2"/>
    <d v="2023-03-23T00:00:00"/>
    <n v="3499.95"/>
    <d v="2026-10-28T17:39:48"/>
    <s v="High"/>
  </r>
  <r>
    <x v="128"/>
    <x v="85"/>
    <s v="CUST049"/>
    <s v="Raymond Ross"/>
    <s v="P002"/>
    <x v="5"/>
    <x v="0"/>
    <n v="4"/>
    <n v="699.99"/>
    <x v="1"/>
    <x v="0"/>
    <x v="0"/>
    <d v="2024-04-03T00:00:00"/>
    <n v="2799.96"/>
    <d v="2026-10-28T17:39:48"/>
    <s v="High"/>
  </r>
  <r>
    <x v="129"/>
    <x v="85"/>
    <s v="CUST040"/>
    <s v="Sharon Butler"/>
    <s v="P001"/>
    <x v="4"/>
    <x v="0"/>
    <n v="1"/>
    <n v="899.99"/>
    <x v="1"/>
    <x v="4"/>
    <x v="2"/>
    <d v="2024-03-18T00:00:00"/>
    <n v="899.99"/>
    <d v="2026-10-28T17:39:48"/>
    <s v="Medium"/>
  </r>
  <r>
    <x v="130"/>
    <x v="86"/>
    <s v="CUST039"/>
    <s v="Lawrence Reed"/>
    <s v="P003"/>
    <x v="3"/>
    <x v="0"/>
    <n v="2"/>
    <n v="149.99"/>
    <x v="1"/>
    <x v="3"/>
    <x v="0"/>
    <d v="2022-12-21T00:00:00"/>
    <n v="299.98"/>
    <d v="2026-10-28T17:39:48"/>
    <s v="Low"/>
  </r>
  <r>
    <x v="131"/>
    <x v="87"/>
    <s v="CUST039"/>
    <s v="Lawrence Reed"/>
    <s v="P010"/>
    <x v="8"/>
    <x v="0"/>
    <n v="3"/>
    <n v="89.99"/>
    <x v="2"/>
    <x v="0"/>
    <x v="0"/>
    <d v="2021-12-21T00:00:00"/>
    <n v="269.97000000000003"/>
    <d v="2026-10-28T17:39:48"/>
    <s v="Low"/>
  </r>
  <r>
    <x v="132"/>
    <x v="88"/>
    <s v="CUST046"/>
    <s v="Kathleen Bennett"/>
    <s v="P003"/>
    <x v="3"/>
    <x v="0"/>
    <n v="2"/>
    <n v="149.99"/>
    <x v="2"/>
    <x v="0"/>
    <x v="0"/>
    <d v="2021-10-04T00:00:00"/>
    <n v="299.98"/>
    <d v="2026-10-28T17:39:48"/>
    <s v="Low"/>
  </r>
  <r>
    <x v="133"/>
    <x v="88"/>
    <s v="CUST004"/>
    <s v="Sarah Davis"/>
    <s v="P002"/>
    <x v="5"/>
    <x v="0"/>
    <n v="2"/>
    <n v="699.99"/>
    <x v="0"/>
    <x v="0"/>
    <x v="0"/>
    <d v="2023-03-07T00:00:00"/>
    <n v="1399.98"/>
    <d v="2026-10-28T17:39:48"/>
    <s v="High"/>
  </r>
  <r>
    <x v="134"/>
    <x v="89"/>
    <s v="CUST028"/>
    <s v="Betty Campbell"/>
    <s v="P002"/>
    <x v="5"/>
    <x v="0"/>
    <n v="5"/>
    <n v="699.99"/>
    <x v="0"/>
    <x v="2"/>
    <x v="1"/>
    <d v="2022-03-15T00:00:00"/>
    <n v="3499.95"/>
    <d v="2026-10-28T17:39:48"/>
    <s v="High"/>
  </r>
  <r>
    <x v="135"/>
    <x v="90"/>
    <s v="CUST049"/>
    <s v="Raymond Ross"/>
    <s v="P010"/>
    <x v="8"/>
    <x v="0"/>
    <n v="3"/>
    <n v="89.99"/>
    <x v="1"/>
    <x v="2"/>
    <x v="2"/>
    <d v="2022-02-23T00:00:00"/>
    <n v="269.97000000000003"/>
    <d v="2026-10-28T17:39:48"/>
    <s v="Low"/>
  </r>
  <r>
    <x v="136"/>
    <x v="91"/>
    <s v="CUST023"/>
    <s v="Paul Baker"/>
    <s v="P009"/>
    <x v="0"/>
    <x v="0"/>
    <n v="5"/>
    <n v="249.99"/>
    <x v="1"/>
    <x v="1"/>
    <x v="2"/>
    <d v="2022-11-16T00:00:00"/>
    <n v="1249.95"/>
    <d v="2026-10-28T17:39:48"/>
    <s v="High"/>
  </r>
  <r>
    <x v="137"/>
    <x v="92"/>
    <s v="CUST026"/>
    <s v="Karen Hill"/>
    <s v="P007"/>
    <x v="6"/>
    <x v="2"/>
    <n v="3"/>
    <n v="299.99"/>
    <x v="1"/>
    <x v="1"/>
    <x v="2"/>
    <d v="2021-11-02T00:00:00"/>
    <n v="899.97"/>
    <d v="2026-10-28T17:39:48"/>
    <s v="Medium"/>
  </r>
  <r>
    <x v="138"/>
    <x v="93"/>
    <s v="CUST012"/>
    <s v="Patricia Moore"/>
    <s v="P010"/>
    <x v="8"/>
    <x v="0"/>
    <n v="3"/>
    <n v="89.99"/>
    <x v="1"/>
    <x v="2"/>
    <x v="1"/>
    <d v="2021-08-12T00:00:00"/>
    <n v="269.97000000000003"/>
    <d v="2026-10-28T17:39:48"/>
    <s v="Low"/>
  </r>
  <r>
    <x v="139"/>
    <x v="94"/>
    <s v="CUST010"/>
    <s v="Maria Garcia"/>
    <s v="P008"/>
    <x v="2"/>
    <x v="2"/>
    <n v="2"/>
    <n v="149.99"/>
    <x v="1"/>
    <x v="3"/>
    <x v="1"/>
    <d v="2022-10-14T00:00:00"/>
    <n v="299.98"/>
    <d v="2026-10-28T17:39:48"/>
    <s v="Low"/>
  </r>
  <r>
    <x v="140"/>
    <x v="95"/>
    <s v="CUST020"/>
    <s v="Margaret Wright"/>
    <s v="P009"/>
    <x v="0"/>
    <x v="0"/>
    <n v="1"/>
    <n v="249.99"/>
    <x v="1"/>
    <x v="2"/>
    <x v="1"/>
    <d v="2022-09-24T00:00:00"/>
    <n v="249.99"/>
    <d v="2026-10-28T17:39:48"/>
    <s v="Low"/>
  </r>
  <r>
    <x v="141"/>
    <x v="96"/>
    <s v="CUST041"/>
    <s v="Peter Richardson"/>
    <s v="P003"/>
    <x v="3"/>
    <x v="0"/>
    <n v="3"/>
    <n v="149.99"/>
    <x v="0"/>
    <x v="2"/>
    <x v="0"/>
    <d v="2022-07-27T00:00:00"/>
    <n v="449.97"/>
    <d v="2026-10-28T17:39:48"/>
    <s v="Low"/>
  </r>
  <r>
    <x v="142"/>
    <x v="96"/>
    <s v="CUST023"/>
    <s v="Paul Baker"/>
    <s v="P005"/>
    <x v="1"/>
    <x v="1"/>
    <n v="5"/>
    <n v="59.99"/>
    <x v="2"/>
    <x v="3"/>
    <x v="1"/>
    <d v="2022-05-13T00:00:00"/>
    <n v="299.95"/>
    <d v="2026-10-28T17:39:48"/>
    <s v="Low"/>
  </r>
  <r>
    <x v="143"/>
    <x v="96"/>
    <s v="CUST012"/>
    <s v="Patricia Moore"/>
    <s v="P009"/>
    <x v="0"/>
    <x v="0"/>
    <n v="4"/>
    <n v="249.99"/>
    <x v="1"/>
    <x v="3"/>
    <x v="2"/>
    <d v="2022-04-08T00:00:00"/>
    <n v="999.96"/>
    <d v="2026-10-28T17:39:48"/>
    <s v="Medium"/>
  </r>
  <r>
    <x v="144"/>
    <x v="97"/>
    <s v="CUST004"/>
    <s v="Sarah Davis"/>
    <s v="P008"/>
    <x v="2"/>
    <x v="2"/>
    <n v="5"/>
    <n v="149.99"/>
    <x v="2"/>
    <x v="0"/>
    <x v="0"/>
    <d v="2022-12-06T00:00:00"/>
    <n v="749.95"/>
    <d v="2026-10-28T17:39:48"/>
    <s v="Medium"/>
  </r>
  <r>
    <x v="145"/>
    <x v="97"/>
    <s v="CUST027"/>
    <s v="George Adams"/>
    <s v="P005"/>
    <x v="1"/>
    <x v="1"/>
    <n v="3"/>
    <n v="59.99"/>
    <x v="3"/>
    <x v="1"/>
    <x v="2"/>
    <d v="2023-11-30T00:00:00"/>
    <n v="179.97"/>
    <d v="2026-10-28T17:39:48"/>
    <s v="Low"/>
  </r>
  <r>
    <x v="146"/>
    <x v="98"/>
    <s v="CUST032"/>
    <s v="Sandra Phillips"/>
    <s v="P008"/>
    <x v="2"/>
    <x v="2"/>
    <n v="5"/>
    <n v="149.99"/>
    <x v="0"/>
    <x v="2"/>
    <x v="0"/>
    <d v="2022-11-04T00:00:00"/>
    <n v="749.95"/>
    <d v="2026-10-28T17:39:48"/>
    <s v="Medium"/>
  </r>
  <r>
    <x v="147"/>
    <x v="98"/>
    <s v="CUST025"/>
    <s v="Mark Carter"/>
    <s v="P002"/>
    <x v="5"/>
    <x v="0"/>
    <n v="2"/>
    <n v="699.99"/>
    <x v="2"/>
    <x v="3"/>
    <x v="2"/>
    <d v="2022-07-28T00:00:00"/>
    <n v="1399.98"/>
    <d v="2026-10-28T17:39:48"/>
    <s v="High"/>
  </r>
  <r>
    <x v="148"/>
    <x v="99"/>
    <s v="CUST029"/>
    <s v="Edward Mitchell"/>
    <s v="P006"/>
    <x v="9"/>
    <x v="2"/>
    <n v="4"/>
    <n v="199.99"/>
    <x v="3"/>
    <x v="0"/>
    <x v="1"/>
    <d v="2021-08-19T00:00:00"/>
    <n v="799.96"/>
    <d v="2026-10-28T17:39:48"/>
    <s v="Medium"/>
  </r>
  <r>
    <x v="149"/>
    <x v="100"/>
    <s v="CUST033"/>
    <s v="Frank Torres"/>
    <s v="P005"/>
    <x v="1"/>
    <x v="1"/>
    <n v="1"/>
    <n v="59.99"/>
    <x v="3"/>
    <x v="3"/>
    <x v="2"/>
    <d v="2021-12-30T00:00:00"/>
    <n v="59.99"/>
    <d v="2026-10-28T17:39:48"/>
    <s v="Low"/>
  </r>
  <r>
    <x v="150"/>
    <x v="100"/>
    <s v="CUST004"/>
    <s v="Sarah Davis"/>
    <s v="P002"/>
    <x v="5"/>
    <x v="0"/>
    <n v="3"/>
    <n v="699.99"/>
    <x v="2"/>
    <x v="3"/>
    <x v="2"/>
    <d v="2022-01-22T00:00:00"/>
    <n v="2099.9699999999998"/>
    <d v="2026-10-28T17:39:48"/>
    <s v="High"/>
  </r>
  <r>
    <x v="151"/>
    <x v="101"/>
    <s v="CUST045"/>
    <s v="Douglas Watson"/>
    <s v="P009"/>
    <x v="0"/>
    <x v="0"/>
    <n v="5"/>
    <n v="249.99"/>
    <x v="1"/>
    <x v="2"/>
    <x v="0"/>
    <d v="2022-11-08T00:00:00"/>
    <n v="1249.95"/>
    <d v="2026-10-28T17:39:48"/>
    <s v="High"/>
  </r>
  <r>
    <x v="152"/>
    <x v="102"/>
    <s v="CUST014"/>
    <s v="Linda Martin"/>
    <s v="P008"/>
    <x v="2"/>
    <x v="2"/>
    <n v="2"/>
    <n v="149.99"/>
    <x v="0"/>
    <x v="1"/>
    <x v="2"/>
    <d v="2023-06-24T00:00:00"/>
    <n v="299.98"/>
    <d v="2026-10-28T17:39:48"/>
    <s v="Low"/>
  </r>
  <r>
    <x v="153"/>
    <x v="103"/>
    <s v="CUST021"/>
    <s v="Kevin Scott"/>
    <s v="P007"/>
    <x v="6"/>
    <x v="2"/>
    <n v="3"/>
    <n v="299.99"/>
    <x v="0"/>
    <x v="1"/>
    <x v="1"/>
    <d v="2022-04-08T00:00:00"/>
    <n v="899.97"/>
    <d v="2026-10-28T17:39:48"/>
    <s v="Medium"/>
  </r>
  <r>
    <x v="154"/>
    <x v="103"/>
    <s v="CUST017"/>
    <s v="Charles Allen"/>
    <s v="P009"/>
    <x v="0"/>
    <x v="0"/>
    <n v="5"/>
    <n v="249.99"/>
    <x v="0"/>
    <x v="0"/>
    <x v="1"/>
    <d v="2021-10-16T00:00:00"/>
    <n v="1249.95"/>
    <d v="2026-10-28T17:39:48"/>
    <s v="High"/>
  </r>
  <r>
    <x v="155"/>
    <x v="103"/>
    <s v="CUST013"/>
    <s v="Joseph Jackson"/>
    <s v="P003"/>
    <x v="3"/>
    <x v="0"/>
    <n v="2"/>
    <n v="149.99"/>
    <x v="0"/>
    <x v="1"/>
    <x v="1"/>
    <d v="2021-10-06T00:00:00"/>
    <n v="299.98"/>
    <d v="2026-10-28T17:39:48"/>
    <s v="Low"/>
  </r>
  <r>
    <x v="156"/>
    <x v="103"/>
    <s v="CUST025"/>
    <s v="Mark Carter"/>
    <s v="P002"/>
    <x v="5"/>
    <x v="0"/>
    <n v="5"/>
    <n v="699.99"/>
    <x v="3"/>
    <x v="3"/>
    <x v="2"/>
    <d v="2023-01-18T00:00:00"/>
    <n v="3499.95"/>
    <d v="2026-10-28T17:39:48"/>
    <s v="High"/>
  </r>
  <r>
    <x v="157"/>
    <x v="104"/>
    <s v="CUST011"/>
    <s v="William White"/>
    <s v="P009"/>
    <x v="0"/>
    <x v="0"/>
    <n v="4"/>
    <n v="249.99"/>
    <x v="2"/>
    <x v="4"/>
    <x v="1"/>
    <d v="2023-06-21T00:00:00"/>
    <n v="999.96"/>
    <d v="2026-10-28T17:39:48"/>
    <s v="Medium"/>
  </r>
  <r>
    <x v="158"/>
    <x v="105"/>
    <s v="CUST024"/>
    <s v="Dorothy Nelson"/>
    <s v="P002"/>
    <x v="5"/>
    <x v="0"/>
    <n v="4"/>
    <n v="699.99"/>
    <x v="1"/>
    <x v="2"/>
    <x v="1"/>
    <d v="2022-05-22T00:00:00"/>
    <n v="2799.96"/>
    <d v="2026-10-28T17:39:48"/>
    <s v="High"/>
  </r>
  <r>
    <x v="159"/>
    <x v="106"/>
    <s v="CUST036"/>
    <s v="Nancy Collins"/>
    <s v="P009"/>
    <x v="0"/>
    <x v="0"/>
    <n v="2"/>
    <n v="249.99"/>
    <x v="1"/>
    <x v="0"/>
    <x v="1"/>
    <d v="2021-07-19T00:00:00"/>
    <n v="499.98"/>
    <d v="2026-10-28T17:39:48"/>
    <s v="Low"/>
  </r>
  <r>
    <x v="160"/>
    <x v="106"/>
    <s v="CUST005"/>
    <s v="James Johnson"/>
    <s v="P005"/>
    <x v="1"/>
    <x v="1"/>
    <n v="3"/>
    <n v="59.99"/>
    <x v="0"/>
    <x v="0"/>
    <x v="1"/>
    <d v="2023-05-06T00:00:00"/>
    <n v="179.97"/>
    <d v="2026-10-28T17:39:48"/>
    <s v="Low"/>
  </r>
  <r>
    <x v="161"/>
    <x v="106"/>
    <s v="CUST008"/>
    <s v="Jennifer Taylor"/>
    <s v="P004"/>
    <x v="7"/>
    <x v="1"/>
    <n v="4"/>
    <n v="79.989999999999995"/>
    <x v="3"/>
    <x v="4"/>
    <x v="2"/>
    <d v="2022-12-26T00:00:00"/>
    <n v="319.95999999999998"/>
    <d v="2026-10-28T17:39:48"/>
    <s v="Low"/>
  </r>
  <r>
    <x v="162"/>
    <x v="107"/>
    <s v="CUST030"/>
    <s v="Helen Roberts"/>
    <s v="P004"/>
    <x v="7"/>
    <x v="1"/>
    <n v="3"/>
    <n v="79.989999999999995"/>
    <x v="3"/>
    <x v="4"/>
    <x v="2"/>
    <d v="2022-08-06T00:00:00"/>
    <n v="239.97"/>
    <d v="2026-10-28T17:39:48"/>
    <s v="Low"/>
  </r>
  <r>
    <x v="163"/>
    <x v="108"/>
    <s v="CUST041"/>
    <s v="Peter Richardson"/>
    <s v="P001"/>
    <x v="4"/>
    <x v="0"/>
    <n v="2"/>
    <n v="899.99"/>
    <x v="0"/>
    <x v="2"/>
    <x v="0"/>
    <d v="2021-07-29T00:00:00"/>
    <n v="1799.98"/>
    <d v="2026-10-28T17:39:48"/>
    <s v="High"/>
  </r>
  <r>
    <x v="164"/>
    <x v="109"/>
    <s v="CUST007"/>
    <s v="David Martinez"/>
    <s v="P008"/>
    <x v="2"/>
    <x v="2"/>
    <n v="1"/>
    <n v="149.99"/>
    <x v="3"/>
    <x v="4"/>
    <x v="2"/>
    <d v="2023-10-01T00:00:00"/>
    <n v="149.99"/>
    <d v="2026-10-28T17:39:48"/>
    <s v="Low"/>
  </r>
  <r>
    <x v="165"/>
    <x v="109"/>
    <s v="CUST031"/>
    <s v="Steven Turner"/>
    <s v="P007"/>
    <x v="6"/>
    <x v="2"/>
    <n v="2"/>
    <n v="299.99"/>
    <x v="0"/>
    <x v="4"/>
    <x v="1"/>
    <d v="2022-06-12T00:00:00"/>
    <n v="599.98"/>
    <d v="2026-10-28T17:39:48"/>
    <s v="Medium"/>
  </r>
  <r>
    <x v="166"/>
    <x v="110"/>
    <s v="CUST002"/>
    <s v="Emma Wilson"/>
    <s v="P005"/>
    <x v="1"/>
    <x v="1"/>
    <n v="2"/>
    <n v="59.99"/>
    <x v="0"/>
    <x v="3"/>
    <x v="0"/>
    <d v="2023-09-22T00:00:00"/>
    <n v="119.98"/>
    <d v="2026-10-28T17:39:48"/>
    <s v="Low"/>
  </r>
  <r>
    <x v="167"/>
    <x v="111"/>
    <s v="CUST007"/>
    <s v="David Martinez"/>
    <s v="P010"/>
    <x v="8"/>
    <x v="0"/>
    <n v="1"/>
    <n v="89.99"/>
    <x v="3"/>
    <x v="0"/>
    <x v="2"/>
    <d v="2022-07-18T00:00:00"/>
    <n v="89.99"/>
    <d v="2026-10-28T17:39:48"/>
    <s v="Low"/>
  </r>
  <r>
    <x v="168"/>
    <x v="111"/>
    <s v="CUST019"/>
    <s v="Daniel King"/>
    <s v="P001"/>
    <x v="4"/>
    <x v="0"/>
    <n v="5"/>
    <n v="899.99"/>
    <x v="3"/>
    <x v="4"/>
    <x v="2"/>
    <d v="2022-03-05T00:00:00"/>
    <n v="4499.95"/>
    <d v="2026-10-28T17:39:48"/>
    <s v="High"/>
  </r>
  <r>
    <x v="169"/>
    <x v="112"/>
    <s v="CUST003"/>
    <s v="Michael Brown"/>
    <s v="P008"/>
    <x v="2"/>
    <x v="2"/>
    <n v="2"/>
    <n v="149.99"/>
    <x v="0"/>
    <x v="1"/>
    <x v="0"/>
    <d v="2023-11-09T00:00:00"/>
    <n v="299.98"/>
    <d v="2026-10-28T17:39:48"/>
    <s v="Low"/>
  </r>
  <r>
    <x v="170"/>
    <x v="113"/>
    <s v="CUST014"/>
    <s v="Linda Martin"/>
    <s v="P003"/>
    <x v="3"/>
    <x v="0"/>
    <n v="2"/>
    <n v="149.99"/>
    <x v="3"/>
    <x v="3"/>
    <x v="1"/>
    <d v="2023-12-20T00:00:00"/>
    <n v="299.98"/>
    <d v="2026-10-28T17:39:48"/>
    <s v="Low"/>
  </r>
  <r>
    <x v="171"/>
    <x v="113"/>
    <s v="CUST007"/>
    <s v="David Martinez"/>
    <s v="P008"/>
    <x v="2"/>
    <x v="2"/>
    <n v="3"/>
    <n v="149.99"/>
    <x v="3"/>
    <x v="2"/>
    <x v="2"/>
    <d v="2021-11-22T00:00:00"/>
    <n v="449.97"/>
    <d v="2026-10-28T17:39:48"/>
    <s v="Low"/>
  </r>
  <r>
    <x v="172"/>
    <x v="114"/>
    <s v="CUST021"/>
    <s v="Kevin Scott"/>
    <s v="P007"/>
    <x v="6"/>
    <x v="2"/>
    <n v="2"/>
    <n v="299.99"/>
    <x v="2"/>
    <x v="1"/>
    <x v="0"/>
    <d v="2022-06-09T00:00:00"/>
    <n v="599.98"/>
    <d v="2026-10-28T17:39:48"/>
    <s v="Medium"/>
  </r>
  <r>
    <x v="173"/>
    <x v="115"/>
    <s v="CUST003"/>
    <s v="Michael Brown"/>
    <s v="P007"/>
    <x v="6"/>
    <x v="2"/>
    <n v="2"/>
    <n v="299.99"/>
    <x v="0"/>
    <x v="3"/>
    <x v="0"/>
    <d v="2022-07-29T00:00:00"/>
    <n v="599.98"/>
    <d v="2026-10-28T17:39:48"/>
    <s v="Medium"/>
  </r>
  <r>
    <x v="174"/>
    <x v="115"/>
    <s v="CUST030"/>
    <s v="Helen Roberts"/>
    <s v="P006"/>
    <x v="9"/>
    <x v="2"/>
    <n v="4"/>
    <n v="199.99"/>
    <x v="1"/>
    <x v="0"/>
    <x v="0"/>
    <d v="2021-11-23T00:00:00"/>
    <n v="799.96"/>
    <d v="2026-10-28T17:39:48"/>
    <s v="Medium"/>
  </r>
  <r>
    <x v="175"/>
    <x v="116"/>
    <s v="CUST009"/>
    <s v="Robert Thomas"/>
    <s v="P010"/>
    <x v="8"/>
    <x v="0"/>
    <n v="1"/>
    <n v="89.99"/>
    <x v="1"/>
    <x v="1"/>
    <x v="1"/>
    <d v="2022-01-30T00:00:00"/>
    <n v="89.99"/>
    <d v="2026-10-28T17:39:48"/>
    <s v="Low"/>
  </r>
  <r>
    <x v="176"/>
    <x v="116"/>
    <s v="CUST036"/>
    <s v="Nancy Collins"/>
    <s v="P008"/>
    <x v="2"/>
    <x v="2"/>
    <n v="5"/>
    <n v="149.99"/>
    <x v="0"/>
    <x v="0"/>
    <x v="1"/>
    <d v="2024-02-25T00:00:00"/>
    <n v="749.95"/>
    <d v="2026-10-28T17:39:48"/>
    <s v="Medium"/>
  </r>
  <r>
    <x v="177"/>
    <x v="117"/>
    <s v="CUST025"/>
    <s v="Mark Carter"/>
    <s v="P001"/>
    <x v="4"/>
    <x v="0"/>
    <n v="1"/>
    <n v="899.99"/>
    <x v="2"/>
    <x v="2"/>
    <x v="1"/>
    <d v="2023-05-04T00:00:00"/>
    <n v="899.99"/>
    <d v="2026-10-28T17:39:48"/>
    <s v="Medium"/>
  </r>
  <r>
    <x v="178"/>
    <x v="118"/>
    <s v="CUST019"/>
    <s v="Daniel King"/>
    <s v="P010"/>
    <x v="8"/>
    <x v="0"/>
    <n v="2"/>
    <n v="89.99"/>
    <x v="1"/>
    <x v="1"/>
    <x v="1"/>
    <d v="2022-01-03T00:00:00"/>
    <n v="179.98"/>
    <d v="2026-10-28T17:39:48"/>
    <s v="Low"/>
  </r>
  <r>
    <x v="179"/>
    <x v="119"/>
    <s v="CUST037"/>
    <s v="Arthur Edwards"/>
    <s v="P001"/>
    <x v="4"/>
    <x v="0"/>
    <n v="1"/>
    <n v="899.99"/>
    <x v="2"/>
    <x v="2"/>
    <x v="2"/>
    <d v="2022-07-10T00:00:00"/>
    <n v="899.99"/>
    <d v="2026-10-28T17:39:48"/>
    <s v="Medium"/>
  </r>
  <r>
    <x v="180"/>
    <x v="120"/>
    <s v="CUST006"/>
    <s v="Lisa Anderson"/>
    <s v="P003"/>
    <x v="3"/>
    <x v="0"/>
    <n v="5"/>
    <n v="149.99"/>
    <x v="2"/>
    <x v="4"/>
    <x v="1"/>
    <d v="2022-09-20T00:00:00"/>
    <n v="749.95"/>
    <d v="2026-10-28T17:39:48"/>
    <s v="Medium"/>
  </r>
  <r>
    <x v="181"/>
    <x v="120"/>
    <s v="CUST003"/>
    <s v="Michael Brown"/>
    <s v="P007"/>
    <x v="6"/>
    <x v="2"/>
    <n v="3"/>
    <n v="299.99"/>
    <x v="0"/>
    <x v="1"/>
    <x v="2"/>
    <d v="2021-08-14T00:00:00"/>
    <n v="899.97"/>
    <d v="2026-10-28T17:39:48"/>
    <s v="Medium"/>
  </r>
  <r>
    <x v="182"/>
    <x v="121"/>
    <s v="CUST026"/>
    <s v="Karen Hill"/>
    <s v="P002"/>
    <x v="5"/>
    <x v="0"/>
    <n v="3"/>
    <n v="699.99"/>
    <x v="1"/>
    <x v="0"/>
    <x v="1"/>
    <d v="2023-06-28T00:00:00"/>
    <n v="2099.9699999999998"/>
    <d v="2026-10-28T17:39:48"/>
    <s v="High"/>
  </r>
  <r>
    <x v="183"/>
    <x v="122"/>
    <s v="CUST036"/>
    <s v="Nancy Collins"/>
    <s v="P006"/>
    <x v="9"/>
    <x v="2"/>
    <n v="5"/>
    <n v="199.99"/>
    <x v="2"/>
    <x v="0"/>
    <x v="2"/>
    <d v="2022-03-13T00:00:00"/>
    <n v="999.95"/>
    <d v="2026-10-28T17:39:48"/>
    <s v="Medium"/>
  </r>
  <r>
    <x v="184"/>
    <x v="122"/>
    <s v="CUST048"/>
    <s v="Virginia Sanders"/>
    <s v="P009"/>
    <x v="0"/>
    <x v="0"/>
    <n v="5"/>
    <n v="249.99"/>
    <x v="1"/>
    <x v="1"/>
    <x v="0"/>
    <d v="2024-02-08T00:00:00"/>
    <n v="1249.95"/>
    <d v="2026-10-28T17:39:48"/>
    <s v="High"/>
  </r>
  <r>
    <x v="185"/>
    <x v="123"/>
    <s v="CUST031"/>
    <s v="Steven Turner"/>
    <s v="P003"/>
    <x v="3"/>
    <x v="0"/>
    <n v="4"/>
    <n v="149.99"/>
    <x v="3"/>
    <x v="4"/>
    <x v="2"/>
    <d v="2021-12-06T00:00:00"/>
    <n v="599.96"/>
    <d v="2026-10-28T17:39:48"/>
    <s v="Medium"/>
  </r>
  <r>
    <x v="186"/>
    <x v="123"/>
    <s v="CUST038"/>
    <s v="Michelle Rogers"/>
    <s v="P002"/>
    <x v="5"/>
    <x v="0"/>
    <n v="3"/>
    <n v="699.99"/>
    <x v="0"/>
    <x v="2"/>
    <x v="1"/>
    <d v="2022-02-10T00:00:00"/>
    <n v="2099.9699999999998"/>
    <d v="2026-10-28T17:39:48"/>
    <s v="High"/>
  </r>
  <r>
    <x v="187"/>
    <x v="124"/>
    <s v="CUST045"/>
    <s v="Douglas Watson"/>
    <s v="P004"/>
    <x v="7"/>
    <x v="1"/>
    <n v="1"/>
    <n v="79.989999999999995"/>
    <x v="1"/>
    <x v="1"/>
    <x v="0"/>
    <d v="2024-01-31T00:00:00"/>
    <n v="79.989999999999995"/>
    <d v="2026-10-28T17:39:48"/>
    <s v="Low"/>
  </r>
  <r>
    <x v="188"/>
    <x v="124"/>
    <s v="CUST025"/>
    <s v="Mark Carter"/>
    <s v="P007"/>
    <x v="6"/>
    <x v="2"/>
    <n v="1"/>
    <n v="299.99"/>
    <x v="1"/>
    <x v="2"/>
    <x v="0"/>
    <d v="2021-08-28T00:00:00"/>
    <n v="299.99"/>
    <d v="2026-10-28T17:39:48"/>
    <s v="Low"/>
  </r>
  <r>
    <x v="189"/>
    <x v="125"/>
    <s v="CUST028"/>
    <s v="Betty Campbell"/>
    <s v="P009"/>
    <x v="0"/>
    <x v="0"/>
    <n v="4"/>
    <n v="249.99"/>
    <x v="1"/>
    <x v="2"/>
    <x v="1"/>
    <d v="2021-09-21T00:00:00"/>
    <n v="999.96"/>
    <d v="2026-10-28T17:39:48"/>
    <s v="Medium"/>
  </r>
  <r>
    <x v="190"/>
    <x v="125"/>
    <s v="CUST030"/>
    <s v="Helen Roberts"/>
    <s v="P003"/>
    <x v="3"/>
    <x v="0"/>
    <n v="2"/>
    <n v="149.99"/>
    <x v="0"/>
    <x v="2"/>
    <x v="2"/>
    <d v="2022-12-18T00:00:00"/>
    <n v="299.98"/>
    <d v="2026-10-28T17:39:48"/>
    <s v="Low"/>
  </r>
  <r>
    <x v="191"/>
    <x v="125"/>
    <s v="CUST032"/>
    <s v="Sandra Phillips"/>
    <s v="P007"/>
    <x v="6"/>
    <x v="2"/>
    <n v="3"/>
    <n v="299.99"/>
    <x v="1"/>
    <x v="1"/>
    <x v="0"/>
    <d v="2023-10-05T00:00:00"/>
    <n v="899.97"/>
    <d v="2026-10-28T17:39:48"/>
    <s v="Medium"/>
  </r>
  <r>
    <x v="192"/>
    <x v="126"/>
    <s v="CUST039"/>
    <s v="Lawrence Reed"/>
    <s v="P006"/>
    <x v="9"/>
    <x v="2"/>
    <n v="4"/>
    <n v="199.99"/>
    <x v="3"/>
    <x v="1"/>
    <x v="2"/>
    <d v="2021-12-14T00:00:00"/>
    <n v="799.96"/>
    <d v="2026-10-28T17:39:48"/>
    <s v="Medium"/>
  </r>
  <r>
    <x v="193"/>
    <x v="126"/>
    <s v="CUST016"/>
    <s v="Elizabeth Hall"/>
    <s v="P007"/>
    <x v="6"/>
    <x v="2"/>
    <n v="5"/>
    <n v="299.99"/>
    <x v="3"/>
    <x v="0"/>
    <x v="0"/>
    <d v="2021-08-23T00:00:00"/>
    <n v="1499.95"/>
    <d v="2026-10-28T17:39:48"/>
    <s v="High"/>
  </r>
  <r>
    <x v="194"/>
    <x v="126"/>
    <s v="CUST009"/>
    <s v="Robert Thomas"/>
    <s v="P008"/>
    <x v="2"/>
    <x v="2"/>
    <n v="3"/>
    <n v="149.99"/>
    <x v="1"/>
    <x v="4"/>
    <x v="2"/>
    <d v="2021-07-18T00:00:00"/>
    <n v="449.97"/>
    <d v="2026-10-28T17:39:48"/>
    <s v="Low"/>
  </r>
  <r>
    <x v="195"/>
    <x v="127"/>
    <s v="CUST006"/>
    <s v="Lisa Anderson"/>
    <s v="P005"/>
    <x v="1"/>
    <x v="1"/>
    <n v="5"/>
    <n v="59.99"/>
    <x v="3"/>
    <x v="4"/>
    <x v="0"/>
    <d v="2022-03-22T00:00:00"/>
    <n v="299.95"/>
    <d v="2026-10-28T17:39:48"/>
    <s v="Low"/>
  </r>
  <r>
    <x v="196"/>
    <x v="128"/>
    <s v="CUST022"/>
    <s v="Susan Green"/>
    <s v="P005"/>
    <x v="1"/>
    <x v="1"/>
    <n v="4"/>
    <n v="59.99"/>
    <x v="3"/>
    <x v="4"/>
    <x v="2"/>
    <d v="2022-01-03T00:00:00"/>
    <n v="239.96"/>
    <d v="2026-10-28T17:39:48"/>
    <s v="Low"/>
  </r>
  <r>
    <x v="197"/>
    <x v="129"/>
    <s v="CUST024"/>
    <s v="Dorothy Nelson"/>
    <s v="P009"/>
    <x v="0"/>
    <x v="0"/>
    <n v="4"/>
    <n v="249.99"/>
    <x v="3"/>
    <x v="0"/>
    <x v="1"/>
    <d v="2023-10-18T00:00:00"/>
    <n v="999.96"/>
    <d v="2026-10-28T17:39:48"/>
    <s v="Medium"/>
  </r>
  <r>
    <x v="198"/>
    <x v="130"/>
    <s v="CUST011"/>
    <s v="William White"/>
    <s v="P001"/>
    <x v="4"/>
    <x v="0"/>
    <n v="4"/>
    <n v="899.99"/>
    <x v="2"/>
    <x v="0"/>
    <x v="0"/>
    <d v="2022-06-22T00:00:00"/>
    <n v="3599.96"/>
    <d v="2026-10-28T17:39:48"/>
    <s v="High"/>
  </r>
  <r>
    <x v="199"/>
    <x v="130"/>
    <s v="CUST025"/>
    <s v="Mark Carter"/>
    <s v="P007"/>
    <x v="6"/>
    <x v="2"/>
    <n v="3"/>
    <n v="299.99"/>
    <x v="3"/>
    <x v="3"/>
    <x v="2"/>
    <d v="2023-01-26T00:00:00"/>
    <n v="899.97"/>
    <d v="2026-10-28T17:39:48"/>
    <s v="Medium"/>
  </r>
  <r>
    <x v="200"/>
    <x v="130"/>
    <s v="CUST045"/>
    <s v="Douglas Watson"/>
    <s v="P002"/>
    <x v="5"/>
    <x v="0"/>
    <n v="2"/>
    <n v="699.99"/>
    <x v="3"/>
    <x v="0"/>
    <x v="1"/>
    <d v="2022-04-30T00:00:00"/>
    <n v="1399.98"/>
    <d v="2026-10-28T17:39:48"/>
    <s v="High"/>
  </r>
  <r>
    <x v="201"/>
    <x v="131"/>
    <s v="CUST026"/>
    <s v="Karen Hill"/>
    <s v="P002"/>
    <x v="5"/>
    <x v="0"/>
    <n v="4"/>
    <n v="699.99"/>
    <x v="3"/>
    <x v="3"/>
    <x v="1"/>
    <d v="2022-05-11T00:00:00"/>
    <n v="2799.96"/>
    <d v="2026-10-28T17:39:48"/>
    <s v="High"/>
  </r>
  <r>
    <x v="202"/>
    <x v="131"/>
    <s v="CUST029"/>
    <s v="Edward Mitchell"/>
    <s v="P010"/>
    <x v="8"/>
    <x v="0"/>
    <n v="2"/>
    <n v="89.99"/>
    <x v="3"/>
    <x v="1"/>
    <x v="0"/>
    <d v="2022-08-04T00:00:00"/>
    <n v="179.98"/>
    <d v="2026-10-28T17:39:48"/>
    <s v="Low"/>
  </r>
  <r>
    <x v="203"/>
    <x v="131"/>
    <s v="CUST003"/>
    <s v="Michael Brown"/>
    <s v="P010"/>
    <x v="8"/>
    <x v="0"/>
    <n v="3"/>
    <n v="89.99"/>
    <x v="3"/>
    <x v="1"/>
    <x v="1"/>
    <d v="2024-01-16T00:00:00"/>
    <n v="269.97000000000003"/>
    <d v="2026-10-28T17:39:48"/>
    <s v="Low"/>
  </r>
  <r>
    <x v="204"/>
    <x v="132"/>
    <s v="CUST037"/>
    <s v="Arthur Edwards"/>
    <s v="P005"/>
    <x v="1"/>
    <x v="1"/>
    <n v="1"/>
    <n v="59.99"/>
    <x v="3"/>
    <x v="0"/>
    <x v="2"/>
    <d v="2023-04-29T00:00:00"/>
    <n v="59.99"/>
    <d v="2026-10-28T17:39:48"/>
    <s v="Low"/>
  </r>
  <r>
    <x v="205"/>
    <x v="133"/>
    <s v="CUST042"/>
    <s v="Ruth Brooks"/>
    <s v="P008"/>
    <x v="2"/>
    <x v="2"/>
    <n v="3"/>
    <n v="149.99"/>
    <x v="3"/>
    <x v="2"/>
    <x v="1"/>
    <d v="2022-01-03T00:00:00"/>
    <n v="449.97"/>
    <d v="2026-10-28T17:39:48"/>
    <s v="Low"/>
  </r>
  <r>
    <x v="206"/>
    <x v="133"/>
    <s v="CUST048"/>
    <s v="Virginia Sanders"/>
    <s v="P007"/>
    <x v="6"/>
    <x v="2"/>
    <n v="5"/>
    <n v="299.99"/>
    <x v="1"/>
    <x v="1"/>
    <x v="0"/>
    <d v="2023-02-02T00:00:00"/>
    <n v="1499.95"/>
    <d v="2026-10-28T17:39:48"/>
    <s v="High"/>
  </r>
  <r>
    <x v="207"/>
    <x v="134"/>
    <s v="CUST040"/>
    <s v="Sharon Butler"/>
    <s v="P005"/>
    <x v="1"/>
    <x v="1"/>
    <n v="5"/>
    <n v="59.99"/>
    <x v="3"/>
    <x v="0"/>
    <x v="2"/>
    <d v="2023-09-08T00:00:00"/>
    <n v="299.95"/>
    <d v="2026-10-28T17:39:48"/>
    <s v="Low"/>
  </r>
  <r>
    <x v="208"/>
    <x v="135"/>
    <s v="CUST036"/>
    <s v="Nancy Collins"/>
    <s v="P004"/>
    <x v="7"/>
    <x v="1"/>
    <n v="3"/>
    <n v="79.989999999999995"/>
    <x v="0"/>
    <x v="4"/>
    <x v="1"/>
    <d v="2021-08-28T00:00:00"/>
    <n v="239.97"/>
    <d v="2026-10-28T17:39:48"/>
    <s v="Low"/>
  </r>
  <r>
    <x v="209"/>
    <x v="136"/>
    <s v="CUST021"/>
    <s v="Kevin Scott"/>
    <s v="P006"/>
    <x v="9"/>
    <x v="2"/>
    <n v="3"/>
    <n v="199.99"/>
    <x v="0"/>
    <x v="0"/>
    <x v="0"/>
    <d v="2022-06-23T00:00:00"/>
    <n v="599.97"/>
    <d v="2026-10-28T17:39:48"/>
    <s v="Medium"/>
  </r>
  <r>
    <x v="210"/>
    <x v="136"/>
    <s v="CUST023"/>
    <s v="Paul Baker"/>
    <s v="P010"/>
    <x v="8"/>
    <x v="0"/>
    <n v="2"/>
    <n v="89.99"/>
    <x v="2"/>
    <x v="0"/>
    <x v="0"/>
    <d v="2023-11-27T00:00:00"/>
    <n v="179.98"/>
    <d v="2026-10-28T17:39:48"/>
    <s v="Low"/>
  </r>
  <r>
    <x v="211"/>
    <x v="137"/>
    <s v="CUST015"/>
    <s v="Richard Lee"/>
    <s v="P008"/>
    <x v="2"/>
    <x v="2"/>
    <n v="2"/>
    <n v="149.99"/>
    <x v="0"/>
    <x v="1"/>
    <x v="1"/>
    <d v="2022-06-16T00:00:00"/>
    <n v="299.98"/>
    <d v="2026-10-28T17:39:48"/>
    <s v="Low"/>
  </r>
  <r>
    <x v="212"/>
    <x v="138"/>
    <s v="CUST029"/>
    <s v="Edward Mitchell"/>
    <s v="P002"/>
    <x v="5"/>
    <x v="0"/>
    <n v="5"/>
    <n v="699.99"/>
    <x v="2"/>
    <x v="1"/>
    <x v="1"/>
    <d v="2024-03-01T00:00:00"/>
    <n v="3499.95"/>
    <d v="2026-10-28T17:39:48"/>
    <s v="High"/>
  </r>
  <r>
    <x v="213"/>
    <x v="138"/>
    <s v="CUST003"/>
    <s v="Michael Brown"/>
    <s v="P008"/>
    <x v="2"/>
    <x v="2"/>
    <n v="3"/>
    <n v="149.99"/>
    <x v="2"/>
    <x v="0"/>
    <x v="2"/>
    <d v="2022-03-13T00:00:00"/>
    <n v="449.97"/>
    <d v="2026-10-28T17:39:48"/>
    <s v="Low"/>
  </r>
  <r>
    <x v="214"/>
    <x v="139"/>
    <s v="CUST018"/>
    <s v="Barbara Young"/>
    <s v="P001"/>
    <x v="4"/>
    <x v="0"/>
    <n v="3"/>
    <n v="899.99"/>
    <x v="0"/>
    <x v="4"/>
    <x v="2"/>
    <d v="2022-02-21T00:00:00"/>
    <n v="2699.97"/>
    <d v="2026-10-28T17:39:48"/>
    <s v="High"/>
  </r>
  <r>
    <x v="215"/>
    <x v="139"/>
    <s v="CUST033"/>
    <s v="Frank Torres"/>
    <s v="P006"/>
    <x v="9"/>
    <x v="2"/>
    <n v="3"/>
    <n v="199.99"/>
    <x v="0"/>
    <x v="3"/>
    <x v="1"/>
    <d v="2022-09-19T00:00:00"/>
    <n v="599.97"/>
    <d v="2026-10-28T17:39:48"/>
    <s v="Medium"/>
  </r>
  <r>
    <x v="216"/>
    <x v="140"/>
    <s v="CUST017"/>
    <s v="Charles Allen"/>
    <s v="P007"/>
    <x v="6"/>
    <x v="2"/>
    <n v="5"/>
    <n v="299.99"/>
    <x v="0"/>
    <x v="3"/>
    <x v="2"/>
    <d v="2023-08-04T00:00:00"/>
    <n v="1499.95"/>
    <d v="2026-10-28T17:39:48"/>
    <s v="High"/>
  </r>
  <r>
    <x v="217"/>
    <x v="140"/>
    <s v="CUST040"/>
    <s v="Sharon Butler"/>
    <s v="P002"/>
    <x v="5"/>
    <x v="0"/>
    <n v="1"/>
    <n v="699.99"/>
    <x v="2"/>
    <x v="3"/>
    <x v="0"/>
    <d v="2023-01-08T00:00:00"/>
    <n v="699.99"/>
    <d v="2026-10-28T17:39:48"/>
    <s v="Medium"/>
  </r>
  <r>
    <x v="218"/>
    <x v="141"/>
    <s v="CUST042"/>
    <s v="Ruth Brooks"/>
    <s v="P002"/>
    <x v="5"/>
    <x v="0"/>
    <n v="1"/>
    <n v="699.99"/>
    <x v="0"/>
    <x v="2"/>
    <x v="1"/>
    <d v="2022-01-22T00:00:00"/>
    <n v="699.99"/>
    <d v="2026-10-28T17:39:48"/>
    <s v="Medium"/>
  </r>
  <r>
    <x v="219"/>
    <x v="141"/>
    <s v="CUST037"/>
    <s v="Arthur Edwards"/>
    <s v="P008"/>
    <x v="2"/>
    <x v="2"/>
    <n v="4"/>
    <n v="149.99"/>
    <x v="2"/>
    <x v="2"/>
    <x v="1"/>
    <d v="2021-08-04T00:00:00"/>
    <n v="599.96"/>
    <d v="2026-10-28T17:39:48"/>
    <s v="Medium"/>
  </r>
  <r>
    <x v="220"/>
    <x v="141"/>
    <s v="CUST016"/>
    <s v="Elizabeth Hall"/>
    <s v="P010"/>
    <x v="8"/>
    <x v="0"/>
    <n v="5"/>
    <n v="89.99"/>
    <x v="2"/>
    <x v="3"/>
    <x v="1"/>
    <d v="2023-08-02T00:00:00"/>
    <n v="449.95"/>
    <d v="2026-10-28T17:39:48"/>
    <s v="Low"/>
  </r>
  <r>
    <x v="221"/>
    <x v="142"/>
    <s v="CUST031"/>
    <s v="Steven Turner"/>
    <s v="P006"/>
    <x v="9"/>
    <x v="2"/>
    <n v="2"/>
    <n v="199.99"/>
    <x v="0"/>
    <x v="0"/>
    <x v="1"/>
    <d v="2022-01-12T00:00:00"/>
    <n v="399.98"/>
    <d v="2026-10-28T17:39:48"/>
    <s v="Low"/>
  </r>
  <r>
    <x v="222"/>
    <x v="143"/>
    <s v="CUST015"/>
    <s v="Richard Lee"/>
    <s v="P005"/>
    <x v="1"/>
    <x v="1"/>
    <n v="4"/>
    <n v="59.99"/>
    <x v="0"/>
    <x v="3"/>
    <x v="2"/>
    <d v="2023-05-24T00:00:00"/>
    <n v="239.96"/>
    <d v="2026-10-28T17:39:48"/>
    <s v="Low"/>
  </r>
  <r>
    <x v="223"/>
    <x v="143"/>
    <s v="CUST048"/>
    <s v="Virginia Sanders"/>
    <s v="P007"/>
    <x v="6"/>
    <x v="2"/>
    <n v="2"/>
    <n v="299.99"/>
    <x v="2"/>
    <x v="1"/>
    <x v="0"/>
    <d v="2022-01-15T00:00:00"/>
    <n v="599.98"/>
    <d v="2026-10-28T17:39:48"/>
    <s v="Medium"/>
  </r>
  <r>
    <x v="224"/>
    <x v="144"/>
    <s v="CUST017"/>
    <s v="Charles Allen"/>
    <s v="P008"/>
    <x v="2"/>
    <x v="2"/>
    <n v="2"/>
    <n v="149.99"/>
    <x v="0"/>
    <x v="0"/>
    <x v="0"/>
    <d v="2023-05-22T00:00:00"/>
    <n v="299.98"/>
    <d v="2026-10-28T17:39:48"/>
    <s v="Low"/>
  </r>
  <r>
    <x v="225"/>
    <x v="145"/>
    <s v="CUST039"/>
    <s v="Lawrence Reed"/>
    <s v="P002"/>
    <x v="5"/>
    <x v="0"/>
    <n v="5"/>
    <n v="699.99"/>
    <x v="3"/>
    <x v="4"/>
    <x v="1"/>
    <d v="2023-08-23T00:00:00"/>
    <n v="3499.95"/>
    <d v="2026-10-28T17:39:48"/>
    <s v="High"/>
  </r>
  <r>
    <x v="226"/>
    <x v="146"/>
    <s v="CUST043"/>
    <s v="Dennis Gray"/>
    <s v="P005"/>
    <x v="1"/>
    <x v="1"/>
    <n v="5"/>
    <n v="59.99"/>
    <x v="0"/>
    <x v="3"/>
    <x v="1"/>
    <d v="2023-12-31T00:00:00"/>
    <n v="299.95"/>
    <d v="2026-10-28T17:39:48"/>
    <s v="Low"/>
  </r>
  <r>
    <x v="227"/>
    <x v="147"/>
    <s v="CUST023"/>
    <s v="Paul Baker"/>
    <s v="P010"/>
    <x v="8"/>
    <x v="0"/>
    <n v="2"/>
    <n v="89.99"/>
    <x v="1"/>
    <x v="3"/>
    <x v="1"/>
    <d v="2024-01-04T00:00:00"/>
    <n v="179.98"/>
    <d v="2026-10-28T17:39:48"/>
    <s v="Low"/>
  </r>
  <r>
    <x v="228"/>
    <x v="147"/>
    <s v="CUST030"/>
    <s v="Helen Roberts"/>
    <s v="P009"/>
    <x v="0"/>
    <x v="0"/>
    <n v="5"/>
    <n v="249.99"/>
    <x v="0"/>
    <x v="4"/>
    <x v="2"/>
    <d v="2021-12-10T00:00:00"/>
    <n v="1249.95"/>
    <d v="2026-10-28T17:39:48"/>
    <s v="High"/>
  </r>
  <r>
    <x v="229"/>
    <x v="148"/>
    <s v="CUST039"/>
    <s v="Lawrence Reed"/>
    <s v="P008"/>
    <x v="2"/>
    <x v="2"/>
    <n v="2"/>
    <n v="149.99"/>
    <x v="2"/>
    <x v="0"/>
    <x v="1"/>
    <d v="2022-03-12T00:00:00"/>
    <n v="299.98"/>
    <d v="2026-10-28T17:39:48"/>
    <s v="Low"/>
  </r>
  <r>
    <x v="230"/>
    <x v="148"/>
    <s v="CUST035"/>
    <s v="Harry Morgan"/>
    <s v="P001"/>
    <x v="4"/>
    <x v="0"/>
    <n v="5"/>
    <n v="899.99"/>
    <x v="2"/>
    <x v="4"/>
    <x v="1"/>
    <d v="2024-04-07T00:00:00"/>
    <n v="4499.95"/>
    <d v="2026-10-28T17:39:48"/>
    <s v="High"/>
  </r>
  <r>
    <x v="231"/>
    <x v="148"/>
    <s v="CUST017"/>
    <s v="Charles Allen"/>
    <s v="P008"/>
    <x v="2"/>
    <x v="2"/>
    <n v="4"/>
    <n v="149.99"/>
    <x v="0"/>
    <x v="0"/>
    <x v="2"/>
    <d v="2023-12-03T00:00:00"/>
    <n v="599.96"/>
    <d v="2026-10-28T17:39:48"/>
    <s v="Medium"/>
  </r>
  <r>
    <x v="232"/>
    <x v="149"/>
    <s v="CUST035"/>
    <s v="Harry Morgan"/>
    <s v="P009"/>
    <x v="0"/>
    <x v="0"/>
    <n v="1"/>
    <n v="249.99"/>
    <x v="0"/>
    <x v="2"/>
    <x v="2"/>
    <d v="2023-07-10T00:00:00"/>
    <n v="249.99"/>
    <d v="2026-10-28T17:39:48"/>
    <s v="Low"/>
  </r>
  <r>
    <x v="233"/>
    <x v="150"/>
    <s v="CUST033"/>
    <s v="Frank Torres"/>
    <s v="P005"/>
    <x v="1"/>
    <x v="1"/>
    <n v="2"/>
    <n v="59.99"/>
    <x v="1"/>
    <x v="3"/>
    <x v="0"/>
    <d v="2023-09-24T00:00:00"/>
    <n v="119.98"/>
    <d v="2026-10-28T17:39:48"/>
    <s v="Low"/>
  </r>
  <r>
    <x v="234"/>
    <x v="151"/>
    <s v="CUST002"/>
    <s v="Emma Wilson"/>
    <s v="P008"/>
    <x v="2"/>
    <x v="2"/>
    <n v="2"/>
    <n v="149.99"/>
    <x v="0"/>
    <x v="3"/>
    <x v="1"/>
    <d v="2023-11-03T00:00:00"/>
    <n v="299.98"/>
    <d v="2026-10-28T17:39:48"/>
    <s v="Low"/>
  </r>
  <r>
    <x v="235"/>
    <x v="151"/>
    <s v="CUST040"/>
    <s v="Sharon Butler"/>
    <s v="P001"/>
    <x v="4"/>
    <x v="0"/>
    <n v="3"/>
    <n v="899.99"/>
    <x v="3"/>
    <x v="2"/>
    <x v="1"/>
    <d v="2022-11-11T00:00:00"/>
    <n v="2699.97"/>
    <d v="2026-10-28T17:39:48"/>
    <s v="High"/>
  </r>
  <r>
    <x v="236"/>
    <x v="151"/>
    <s v="CUST024"/>
    <s v="Dorothy Nelson"/>
    <s v="P001"/>
    <x v="4"/>
    <x v="0"/>
    <n v="3"/>
    <n v="899.99"/>
    <x v="2"/>
    <x v="2"/>
    <x v="0"/>
    <d v="2023-02-18T00:00:00"/>
    <n v="2699.97"/>
    <d v="2026-10-28T17:39:48"/>
    <s v="High"/>
  </r>
  <r>
    <x v="237"/>
    <x v="152"/>
    <s v="CUST023"/>
    <s v="Paul Baker"/>
    <s v="P007"/>
    <x v="6"/>
    <x v="2"/>
    <n v="3"/>
    <n v="299.99"/>
    <x v="1"/>
    <x v="3"/>
    <x v="1"/>
    <d v="2023-11-04T00:00:00"/>
    <n v="899.97"/>
    <d v="2026-10-28T17:39:48"/>
    <s v="Medium"/>
  </r>
  <r>
    <x v="238"/>
    <x v="153"/>
    <s v="CUST001"/>
    <s v="John Smith"/>
    <s v="P008"/>
    <x v="2"/>
    <x v="2"/>
    <n v="4"/>
    <n v="149.99"/>
    <x v="2"/>
    <x v="3"/>
    <x v="2"/>
    <d v="2021-12-30T00:00:00"/>
    <n v="599.96"/>
    <d v="2026-10-28T17:39:48"/>
    <s v="Medium"/>
  </r>
  <r>
    <x v="239"/>
    <x v="154"/>
    <s v="CUST044"/>
    <s v="Cynthia Price"/>
    <s v="P004"/>
    <x v="7"/>
    <x v="1"/>
    <n v="4"/>
    <n v="79.989999999999995"/>
    <x v="1"/>
    <x v="0"/>
    <x v="0"/>
    <d v="2023-12-28T00:00:00"/>
    <n v="319.95999999999998"/>
    <d v="2026-10-28T17:39:48"/>
    <s v="Low"/>
  </r>
  <r>
    <x v="240"/>
    <x v="155"/>
    <s v="CUST020"/>
    <s v="Margaret Wright"/>
    <s v="P010"/>
    <x v="8"/>
    <x v="0"/>
    <n v="5"/>
    <n v="89.99"/>
    <x v="2"/>
    <x v="1"/>
    <x v="0"/>
    <d v="2022-05-23T00:00:00"/>
    <n v="449.95"/>
    <d v="2026-10-28T17:39:48"/>
    <s v="Low"/>
  </r>
  <r>
    <x v="241"/>
    <x v="156"/>
    <s v="CUST048"/>
    <s v="Virginia Sanders"/>
    <s v="P008"/>
    <x v="2"/>
    <x v="2"/>
    <n v="3"/>
    <n v="149.99"/>
    <x v="2"/>
    <x v="0"/>
    <x v="2"/>
    <d v="2023-09-02T00:00:00"/>
    <n v="449.97"/>
    <d v="2026-10-28T17:39:48"/>
    <s v="Low"/>
  </r>
  <r>
    <x v="242"/>
    <x v="156"/>
    <s v="CUST026"/>
    <s v="Karen Hill"/>
    <s v="P010"/>
    <x v="8"/>
    <x v="0"/>
    <n v="2"/>
    <n v="89.99"/>
    <x v="3"/>
    <x v="3"/>
    <x v="1"/>
    <d v="2021-11-22T00:00:00"/>
    <n v="179.98"/>
    <d v="2026-10-28T17:39:48"/>
    <s v="Low"/>
  </r>
  <r>
    <x v="243"/>
    <x v="157"/>
    <s v="CUST044"/>
    <s v="Cynthia Price"/>
    <s v="P002"/>
    <x v="5"/>
    <x v="0"/>
    <n v="2"/>
    <n v="699.99"/>
    <x v="2"/>
    <x v="2"/>
    <x v="2"/>
    <d v="2022-02-26T00:00:00"/>
    <n v="1399.98"/>
    <d v="2026-10-28T17:39:48"/>
    <s v="High"/>
  </r>
  <r>
    <x v="244"/>
    <x v="158"/>
    <s v="CUST029"/>
    <s v="Edward Mitchell"/>
    <s v="P001"/>
    <x v="4"/>
    <x v="0"/>
    <n v="3"/>
    <n v="899.99"/>
    <x v="0"/>
    <x v="0"/>
    <x v="2"/>
    <d v="2023-01-27T00:00:00"/>
    <n v="2699.97"/>
    <d v="2026-10-28T17:39:48"/>
    <s v="High"/>
  </r>
  <r>
    <x v="245"/>
    <x v="159"/>
    <s v="CUST048"/>
    <s v="Virginia Sanders"/>
    <s v="P004"/>
    <x v="7"/>
    <x v="1"/>
    <n v="3"/>
    <n v="79.989999999999995"/>
    <x v="1"/>
    <x v="2"/>
    <x v="0"/>
    <d v="2021-11-11T00:00:00"/>
    <n v="239.97"/>
    <d v="2026-10-28T17:39:48"/>
    <s v="Low"/>
  </r>
  <r>
    <x v="246"/>
    <x v="160"/>
    <s v="CUST009"/>
    <s v="Robert Thomas"/>
    <s v="P010"/>
    <x v="8"/>
    <x v="0"/>
    <n v="1"/>
    <n v="89.99"/>
    <x v="3"/>
    <x v="4"/>
    <x v="0"/>
    <d v="2024-02-24T00:00:00"/>
    <n v="89.99"/>
    <d v="2026-10-28T17:39:48"/>
    <s v="Low"/>
  </r>
  <r>
    <x v="247"/>
    <x v="161"/>
    <s v="CUST045"/>
    <s v="Douglas Watson"/>
    <s v="P002"/>
    <x v="5"/>
    <x v="0"/>
    <n v="3"/>
    <n v="699.99"/>
    <x v="2"/>
    <x v="2"/>
    <x v="0"/>
    <d v="2022-12-14T00:00:00"/>
    <n v="2099.9699999999998"/>
    <d v="2026-10-28T17:39:48"/>
    <s v="High"/>
  </r>
  <r>
    <x v="248"/>
    <x v="161"/>
    <s v="CUST039"/>
    <s v="Lawrence Reed"/>
    <s v="P010"/>
    <x v="8"/>
    <x v="0"/>
    <n v="2"/>
    <n v="89.99"/>
    <x v="3"/>
    <x v="4"/>
    <x v="0"/>
    <d v="2023-06-11T00:00:00"/>
    <n v="179.98"/>
    <d v="2026-10-28T17:39:48"/>
    <s v="Low"/>
  </r>
  <r>
    <x v="249"/>
    <x v="161"/>
    <s v="CUST031"/>
    <s v="Steven Turner"/>
    <s v="P010"/>
    <x v="8"/>
    <x v="0"/>
    <n v="3"/>
    <n v="89.99"/>
    <x v="3"/>
    <x v="2"/>
    <x v="1"/>
    <d v="2022-11-13T00:00:00"/>
    <n v="269.97000000000003"/>
    <d v="2026-10-28T17:39:48"/>
    <s v="Low"/>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C189A06-6F7B-4BA0-BD26-DE425C0234A3}"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2:I13" firstHeaderRow="0" firstDataRow="1" firstDataCol="1"/>
  <pivotFields count="18">
    <pivotField showAll="0"/>
    <pivotField numFmtId="14" showAll="0">
      <items count="1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t="default"/>
      </items>
    </pivotField>
    <pivotField showAll="0"/>
    <pivotField showAll="0"/>
    <pivotField showAll="0"/>
    <pivotField axis="axisRow" showAll="0">
      <items count="11">
        <item x="1"/>
        <item x="2"/>
        <item x="7"/>
        <item x="6"/>
        <item x="3"/>
        <item x="8"/>
        <item x="4"/>
        <item x="0"/>
        <item x="9"/>
        <item x="5"/>
        <item t="default"/>
      </items>
    </pivotField>
    <pivotField showAll="0">
      <items count="4">
        <item x="1"/>
        <item x="0"/>
        <item x="2"/>
        <item t="default"/>
      </items>
    </pivotField>
    <pivotField dataField="1" numFmtId="2" showAll="0"/>
    <pivotField numFmtId="164" showAll="0"/>
    <pivotField showAll="0"/>
    <pivotField showAll="0"/>
    <pivotField showAll="0">
      <items count="4">
        <item x="0"/>
        <item x="1"/>
        <item x="2"/>
        <item t="default"/>
      </items>
    </pivotField>
    <pivotField numFmtId="14" showAll="0"/>
    <pivotField dataField="1" numFmtId="164" showAll="0"/>
    <pivotField numFmtId="165" showAll="0"/>
    <pivotField showAll="0"/>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s>
  <rowFields count="1">
    <field x="5"/>
  </rowFields>
  <rowItems count="11">
    <i>
      <x/>
    </i>
    <i>
      <x v="1"/>
    </i>
    <i>
      <x v="2"/>
    </i>
    <i>
      <x v="3"/>
    </i>
    <i>
      <x v="4"/>
    </i>
    <i>
      <x v="5"/>
    </i>
    <i>
      <x v="6"/>
    </i>
    <i>
      <x v="7"/>
    </i>
    <i>
      <x v="8"/>
    </i>
    <i>
      <x v="9"/>
    </i>
    <i t="grand">
      <x/>
    </i>
  </rowItems>
  <colFields count="1">
    <field x="-2"/>
  </colFields>
  <colItems count="2">
    <i>
      <x/>
    </i>
    <i i="1">
      <x v="1"/>
    </i>
  </colItems>
  <dataFields count="2">
    <dataField name="Sum of Total_Amount" fld="13" baseField="0" baseItem="0" numFmtId="164"/>
    <dataField name="Sum of Quantity" fld="7"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69801E8-8D52-4A1E-ACB1-DFD83E579E57}"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D21:E27" firstHeaderRow="1" firstDataRow="1" firstDataCol="1"/>
  <pivotFields count="18">
    <pivotField showAll="0"/>
    <pivotField numFmtId="14" showAll="0">
      <items count="1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t="default"/>
      </items>
    </pivotField>
    <pivotField showAll="0"/>
    <pivotField showAll="0"/>
    <pivotField showAll="0"/>
    <pivotField showAll="0"/>
    <pivotField showAll="0">
      <items count="4">
        <item x="1"/>
        <item x="0"/>
        <item x="2"/>
        <item t="default"/>
      </items>
    </pivotField>
    <pivotField numFmtId="2" showAll="0"/>
    <pivotField numFmtId="164" showAll="0"/>
    <pivotField showAll="0">
      <items count="5">
        <item x="0"/>
        <item x="1"/>
        <item x="3"/>
        <item x="2"/>
        <item t="default"/>
      </items>
    </pivotField>
    <pivotField axis="axisRow" showAll="0">
      <items count="6">
        <item x="0"/>
        <item x="4"/>
        <item x="2"/>
        <item x="1"/>
        <item x="3"/>
        <item t="default"/>
      </items>
    </pivotField>
    <pivotField showAll="0">
      <items count="4">
        <item x="0"/>
        <item x="1"/>
        <item x="2"/>
        <item t="default"/>
      </items>
    </pivotField>
    <pivotField numFmtId="14" showAll="0"/>
    <pivotField dataField="1" numFmtId="164" showAll="0"/>
    <pivotField numFmtId="165" showAll="0"/>
    <pivotField showAll="0"/>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s>
  <rowFields count="1">
    <field x="10"/>
  </rowFields>
  <rowItems count="6">
    <i>
      <x/>
    </i>
    <i>
      <x v="1"/>
    </i>
    <i>
      <x v="2"/>
    </i>
    <i>
      <x v="3"/>
    </i>
    <i>
      <x v="4"/>
    </i>
    <i t="grand">
      <x/>
    </i>
  </rowItems>
  <colItems count="1">
    <i/>
  </colItems>
  <dataFields count="1">
    <dataField name="Sum of Total_Amount" fld="13" baseField="10" baseItem="0" numFmtId="164"/>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EA0F9C1-58E6-4F09-B5FD-3600B081E896}"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B256" firstHeaderRow="1" firstDataRow="1" firstDataCol="1"/>
  <pivotFields count="18">
    <pivotField axis="axisRow" showAll="0">
      <items count="251">
        <item x="96"/>
        <item x="80"/>
        <item x="234"/>
        <item x="27"/>
        <item x="110"/>
        <item x="75"/>
        <item x="55"/>
        <item x="171"/>
        <item x="133"/>
        <item x="201"/>
        <item x="207"/>
        <item x="151"/>
        <item x="236"/>
        <item x="233"/>
        <item x="37"/>
        <item x="230"/>
        <item x="137"/>
        <item x="67"/>
        <item x="237"/>
        <item x="87"/>
        <item x="35"/>
        <item x="188"/>
        <item x="1"/>
        <item x="205"/>
        <item x="53"/>
        <item x="179"/>
        <item x="91"/>
        <item x="166"/>
        <item x="30"/>
        <item x="198"/>
        <item x="94"/>
        <item x="163"/>
        <item x="147"/>
        <item x="128"/>
        <item x="141"/>
        <item x="161"/>
        <item x="97"/>
        <item x="232"/>
        <item x="245"/>
        <item x="25"/>
        <item x="33"/>
        <item x="39"/>
        <item x="3"/>
        <item x="50"/>
        <item x="153"/>
        <item x="169"/>
        <item x="218"/>
        <item x="223"/>
        <item x="16"/>
        <item x="238"/>
        <item x="191"/>
        <item x="61"/>
        <item x="226"/>
        <item x="112"/>
        <item x="123"/>
        <item x="178"/>
        <item x="136"/>
        <item x="98"/>
        <item x="193"/>
        <item x="138"/>
        <item x="51"/>
        <item x="220"/>
        <item x="28"/>
        <item x="249"/>
        <item x="83"/>
        <item x="158"/>
        <item x="13"/>
        <item x="243"/>
        <item x="202"/>
        <item x="62"/>
        <item x="24"/>
        <item x="194"/>
        <item x="146"/>
        <item x="102"/>
        <item x="88"/>
        <item x="143"/>
        <item x="113"/>
        <item x="54"/>
        <item x="131"/>
        <item x="77"/>
        <item x="164"/>
        <item x="160"/>
        <item x="216"/>
        <item x="185"/>
        <item x="125"/>
        <item x="63"/>
        <item x="189"/>
        <item x="47"/>
        <item x="209"/>
        <item x="140"/>
        <item x="181"/>
        <item x="5"/>
        <item x="46"/>
        <item x="154"/>
        <item x="132"/>
        <item x="59"/>
        <item x="69"/>
        <item x="89"/>
        <item x="101"/>
        <item x="104"/>
        <item x="85"/>
        <item x="187"/>
        <item x="248"/>
        <item x="57"/>
        <item x="206"/>
        <item x="192"/>
        <item x="190"/>
        <item x="108"/>
        <item x="139"/>
        <item x="195"/>
        <item x="114"/>
        <item x="106"/>
        <item x="64"/>
        <item x="65"/>
        <item x="48"/>
        <item x="246"/>
        <item x="41"/>
        <item x="211"/>
        <item x="117"/>
        <item x="247"/>
        <item x="44"/>
        <item x="18"/>
        <item x="115"/>
        <item x="235"/>
        <item x="182"/>
        <item x="196"/>
        <item x="58"/>
        <item x="40"/>
        <item x="119"/>
        <item x="32"/>
        <item x="72"/>
        <item x="93"/>
        <item x="155"/>
        <item x="17"/>
        <item x="8"/>
        <item x="66"/>
        <item x="157"/>
        <item x="10"/>
        <item x="2"/>
        <item x="92"/>
        <item x="68"/>
        <item x="105"/>
        <item x="173"/>
        <item x="244"/>
        <item x="149"/>
        <item x="121"/>
        <item x="176"/>
        <item x="150"/>
        <item x="145"/>
        <item x="52"/>
        <item x="217"/>
        <item x="239"/>
        <item x="135"/>
        <item x="49"/>
        <item x="0"/>
        <item x="175"/>
        <item x="79"/>
        <item x="126"/>
        <item x="197"/>
        <item x="148"/>
        <item x="107"/>
        <item x="73"/>
        <item x="168"/>
        <item x="170"/>
        <item x="174"/>
        <item x="203"/>
        <item x="134"/>
        <item x="213"/>
        <item x="70"/>
        <item x="99"/>
        <item x="172"/>
        <item x="142"/>
        <item x="127"/>
        <item x="120"/>
        <item x="228"/>
        <item x="84"/>
        <item x="116"/>
        <item x="199"/>
        <item x="212"/>
        <item x="159"/>
        <item x="118"/>
        <item x="221"/>
        <item x="167"/>
        <item x="56"/>
        <item x="9"/>
        <item x="229"/>
        <item x="208"/>
        <item x="200"/>
        <item x="129"/>
        <item x="130"/>
        <item x="14"/>
        <item x="60"/>
        <item x="6"/>
        <item x="31"/>
        <item x="111"/>
        <item x="210"/>
        <item x="241"/>
        <item x="162"/>
        <item x="231"/>
        <item x="219"/>
        <item x="156"/>
        <item x="38"/>
        <item x="122"/>
        <item x="22"/>
        <item x="86"/>
        <item x="152"/>
        <item x="177"/>
        <item x="42"/>
        <item x="11"/>
        <item x="144"/>
        <item x="109"/>
        <item x="4"/>
        <item x="240"/>
        <item x="214"/>
        <item x="76"/>
        <item x="71"/>
        <item x="81"/>
        <item x="124"/>
        <item x="204"/>
        <item x="45"/>
        <item x="215"/>
        <item x="19"/>
        <item x="183"/>
        <item x="165"/>
        <item x="103"/>
        <item x="225"/>
        <item x="224"/>
        <item x="78"/>
        <item x="222"/>
        <item x="15"/>
        <item x="20"/>
        <item x="34"/>
        <item x="227"/>
        <item x="43"/>
        <item x="26"/>
        <item x="95"/>
        <item x="180"/>
        <item x="186"/>
        <item x="21"/>
        <item x="7"/>
        <item x="29"/>
        <item x="23"/>
        <item x="184"/>
        <item x="74"/>
        <item x="36"/>
        <item x="12"/>
        <item x="90"/>
        <item x="100"/>
        <item x="82"/>
        <item x="242"/>
        <item t="default"/>
      </items>
    </pivotField>
    <pivotField numFmtId="14" showAll="0">
      <items count="1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t="default"/>
      </items>
    </pivotField>
    <pivotField showAll="0"/>
    <pivotField showAll="0"/>
    <pivotField showAll="0"/>
    <pivotField showAll="0"/>
    <pivotField showAll="0">
      <items count="4">
        <item x="1"/>
        <item x="0"/>
        <item x="2"/>
        <item t="default"/>
      </items>
    </pivotField>
    <pivotField numFmtId="2" showAll="0"/>
    <pivotField numFmtId="164" showAll="0"/>
    <pivotField showAll="0"/>
    <pivotField showAll="0"/>
    <pivotField axis="axisRow" showAll="0">
      <items count="4">
        <item x="0"/>
        <item x="1"/>
        <item x="2"/>
        <item t="default"/>
      </items>
    </pivotField>
    <pivotField numFmtId="14" showAll="0"/>
    <pivotField dataField="1" numFmtId="164" showAll="0"/>
    <pivotField numFmtId="165" showAll="0"/>
    <pivotField showAll="0"/>
    <pivotField showAll="0" defaultSubtotal="0"/>
    <pivotField showAll="0" defaultSubtotal="0">
      <items count="4">
        <item x="0"/>
        <item x="1"/>
        <item x="2"/>
        <item x="3"/>
      </items>
    </pivotField>
  </pivotFields>
  <rowFields count="2">
    <field x="11"/>
    <field x="0"/>
  </rowFields>
  <rowItems count="254">
    <i>
      <x/>
    </i>
    <i r="1">
      <x v="1"/>
    </i>
    <i r="1">
      <x v="4"/>
    </i>
    <i r="1">
      <x v="6"/>
    </i>
    <i r="1">
      <x v="8"/>
    </i>
    <i r="1">
      <x v="11"/>
    </i>
    <i r="1">
      <x v="12"/>
    </i>
    <i r="1">
      <x v="13"/>
    </i>
    <i r="1">
      <x v="20"/>
    </i>
    <i r="1">
      <x v="21"/>
    </i>
    <i r="1">
      <x v="24"/>
    </i>
    <i r="1">
      <x v="27"/>
    </i>
    <i r="1">
      <x v="29"/>
    </i>
    <i r="1">
      <x v="30"/>
    </i>
    <i r="1">
      <x v="31"/>
    </i>
    <i r="1">
      <x v="33"/>
    </i>
    <i r="1">
      <x v="34"/>
    </i>
    <i r="1">
      <x v="38"/>
    </i>
    <i r="1">
      <x v="39"/>
    </i>
    <i r="1">
      <x v="45"/>
    </i>
    <i r="1">
      <x v="47"/>
    </i>
    <i r="1">
      <x v="50"/>
    </i>
    <i r="1">
      <x v="53"/>
    </i>
    <i r="1">
      <x v="58"/>
    </i>
    <i r="1">
      <x v="64"/>
    </i>
    <i r="1">
      <x v="68"/>
    </i>
    <i r="1">
      <x v="69"/>
    </i>
    <i r="1">
      <x v="72"/>
    </i>
    <i r="1">
      <x v="78"/>
    </i>
    <i r="1">
      <x v="85"/>
    </i>
    <i r="1">
      <x v="88"/>
    </i>
    <i r="1">
      <x v="94"/>
    </i>
    <i r="1">
      <x v="96"/>
    </i>
    <i r="1">
      <x v="101"/>
    </i>
    <i r="1">
      <x v="102"/>
    </i>
    <i r="1">
      <x v="104"/>
    </i>
    <i r="1">
      <x v="109"/>
    </i>
    <i r="1">
      <x v="111"/>
    </i>
    <i r="1">
      <x v="115"/>
    </i>
    <i r="1">
      <x v="116"/>
    </i>
    <i r="1">
      <x v="118"/>
    </i>
    <i r="1">
      <x v="119"/>
    </i>
    <i r="1">
      <x v="122"/>
    </i>
    <i r="1">
      <x v="126"/>
    </i>
    <i r="1">
      <x v="127"/>
    </i>
    <i r="1">
      <x v="131"/>
    </i>
    <i r="1">
      <x v="133"/>
    </i>
    <i r="1">
      <x v="142"/>
    </i>
    <i r="1">
      <x v="145"/>
    </i>
    <i r="1">
      <x v="150"/>
    </i>
    <i r="1">
      <x v="151"/>
    </i>
    <i r="1">
      <x v="154"/>
    </i>
    <i r="1">
      <x v="156"/>
    </i>
    <i r="1">
      <x v="157"/>
    </i>
    <i r="1">
      <x v="160"/>
    </i>
    <i r="1">
      <x v="164"/>
    </i>
    <i r="1">
      <x v="168"/>
    </i>
    <i r="1">
      <x v="170"/>
    </i>
    <i r="1">
      <x v="180"/>
    </i>
    <i r="1">
      <x v="189"/>
    </i>
    <i r="1">
      <x v="190"/>
    </i>
    <i r="1">
      <x v="193"/>
    </i>
    <i r="1">
      <x v="194"/>
    </i>
    <i r="1">
      <x v="195"/>
    </i>
    <i r="1">
      <x v="204"/>
    </i>
    <i r="1">
      <x v="208"/>
    </i>
    <i r="1">
      <x v="209"/>
    </i>
    <i r="1">
      <x v="212"/>
    </i>
    <i r="1">
      <x v="226"/>
    </i>
    <i r="1">
      <x v="227"/>
    </i>
    <i r="1">
      <x v="230"/>
    </i>
    <i r="1">
      <x v="231"/>
    </i>
    <i r="1">
      <x v="235"/>
    </i>
    <i r="1">
      <x v="239"/>
    </i>
    <i r="1">
      <x v="242"/>
    </i>
    <i>
      <x v="1"/>
    </i>
    <i r="1">
      <x/>
    </i>
    <i r="1">
      <x v="2"/>
    </i>
    <i r="1">
      <x v="3"/>
    </i>
    <i r="1">
      <x v="9"/>
    </i>
    <i r="1">
      <x v="15"/>
    </i>
    <i r="1">
      <x v="18"/>
    </i>
    <i r="1">
      <x v="19"/>
    </i>
    <i r="1">
      <x v="22"/>
    </i>
    <i r="1">
      <x v="23"/>
    </i>
    <i r="1">
      <x v="26"/>
    </i>
    <i r="1">
      <x v="40"/>
    </i>
    <i r="1">
      <x v="42"/>
    </i>
    <i r="1">
      <x v="43"/>
    </i>
    <i r="1">
      <x v="44"/>
    </i>
    <i r="1">
      <x v="46"/>
    </i>
    <i r="1">
      <x v="48"/>
    </i>
    <i r="1">
      <x v="52"/>
    </i>
    <i r="1">
      <x v="54"/>
    </i>
    <i r="1">
      <x v="55"/>
    </i>
    <i r="1">
      <x v="57"/>
    </i>
    <i r="1">
      <x v="59"/>
    </i>
    <i r="1">
      <x v="60"/>
    </i>
    <i r="1">
      <x v="61"/>
    </i>
    <i r="1">
      <x v="63"/>
    </i>
    <i r="1">
      <x v="65"/>
    </i>
    <i r="1">
      <x v="73"/>
    </i>
    <i r="1">
      <x v="74"/>
    </i>
    <i r="1">
      <x v="76"/>
    </i>
    <i r="1">
      <x v="77"/>
    </i>
    <i r="1">
      <x v="79"/>
    </i>
    <i r="1">
      <x v="81"/>
    </i>
    <i r="1">
      <x v="86"/>
    </i>
    <i r="1">
      <x v="87"/>
    </i>
    <i r="1">
      <x v="89"/>
    </i>
    <i r="1">
      <x v="93"/>
    </i>
    <i r="1">
      <x v="95"/>
    </i>
    <i r="1">
      <x v="97"/>
    </i>
    <i r="1">
      <x v="98"/>
    </i>
    <i r="1">
      <x v="99"/>
    </i>
    <i r="1">
      <x v="103"/>
    </i>
    <i r="1">
      <x v="107"/>
    </i>
    <i r="1">
      <x v="108"/>
    </i>
    <i r="1">
      <x v="112"/>
    </i>
    <i r="1">
      <x v="113"/>
    </i>
    <i r="1">
      <x v="114"/>
    </i>
    <i r="1">
      <x v="117"/>
    </i>
    <i r="1">
      <x v="123"/>
    </i>
    <i r="1">
      <x v="124"/>
    </i>
    <i r="1">
      <x v="129"/>
    </i>
    <i r="1">
      <x v="130"/>
    </i>
    <i r="1">
      <x v="132"/>
    </i>
    <i r="1">
      <x v="136"/>
    </i>
    <i r="1">
      <x v="139"/>
    </i>
    <i r="1">
      <x v="140"/>
    </i>
    <i r="1">
      <x v="146"/>
    </i>
    <i r="1">
      <x v="155"/>
    </i>
    <i r="1">
      <x v="158"/>
    </i>
    <i r="1">
      <x v="159"/>
    </i>
    <i r="1">
      <x v="163"/>
    </i>
    <i r="1">
      <x v="165"/>
    </i>
    <i r="1">
      <x v="166"/>
    </i>
    <i r="1">
      <x v="169"/>
    </i>
    <i r="1">
      <x v="171"/>
    </i>
    <i r="1">
      <x v="173"/>
    </i>
    <i r="1">
      <x v="178"/>
    </i>
    <i r="1">
      <x v="179"/>
    </i>
    <i r="1">
      <x v="181"/>
    </i>
    <i r="1">
      <x v="183"/>
    </i>
    <i r="1">
      <x v="184"/>
    </i>
    <i r="1">
      <x v="185"/>
    </i>
    <i r="1">
      <x v="186"/>
    </i>
    <i r="1">
      <x v="187"/>
    </i>
    <i r="1">
      <x v="199"/>
    </i>
    <i r="1">
      <x v="201"/>
    </i>
    <i r="1">
      <x v="202"/>
    </i>
    <i r="1">
      <x v="206"/>
    </i>
    <i r="1">
      <x v="210"/>
    </i>
    <i r="1">
      <x v="211"/>
    </i>
    <i r="1">
      <x v="215"/>
    </i>
    <i r="1">
      <x v="216"/>
    </i>
    <i r="1">
      <x v="219"/>
    </i>
    <i r="1">
      <x v="220"/>
    </i>
    <i r="1">
      <x v="221"/>
    </i>
    <i r="1">
      <x v="223"/>
    </i>
    <i r="1">
      <x v="224"/>
    </i>
    <i r="1">
      <x v="225"/>
    </i>
    <i r="1">
      <x v="232"/>
    </i>
    <i r="1">
      <x v="234"/>
    </i>
    <i r="1">
      <x v="236"/>
    </i>
    <i r="1">
      <x v="237"/>
    </i>
    <i r="1">
      <x v="241"/>
    </i>
    <i r="1">
      <x v="244"/>
    </i>
    <i r="1">
      <x v="245"/>
    </i>
    <i r="1">
      <x v="247"/>
    </i>
    <i r="1">
      <x v="249"/>
    </i>
    <i>
      <x v="2"/>
    </i>
    <i r="1">
      <x v="5"/>
    </i>
    <i r="1">
      <x v="7"/>
    </i>
    <i r="1">
      <x v="10"/>
    </i>
    <i r="1">
      <x v="14"/>
    </i>
    <i r="1">
      <x v="16"/>
    </i>
    <i r="1">
      <x v="17"/>
    </i>
    <i r="1">
      <x v="25"/>
    </i>
    <i r="1">
      <x v="28"/>
    </i>
    <i r="1">
      <x v="32"/>
    </i>
    <i r="1">
      <x v="35"/>
    </i>
    <i r="1">
      <x v="36"/>
    </i>
    <i r="1">
      <x v="37"/>
    </i>
    <i r="1">
      <x v="41"/>
    </i>
    <i r="1">
      <x v="49"/>
    </i>
    <i r="1">
      <x v="51"/>
    </i>
    <i r="1">
      <x v="56"/>
    </i>
    <i r="1">
      <x v="62"/>
    </i>
    <i r="1">
      <x v="66"/>
    </i>
    <i r="1">
      <x v="67"/>
    </i>
    <i r="1">
      <x v="70"/>
    </i>
    <i r="1">
      <x v="71"/>
    </i>
    <i r="1">
      <x v="75"/>
    </i>
    <i r="1">
      <x v="80"/>
    </i>
    <i r="1">
      <x v="82"/>
    </i>
    <i r="1">
      <x v="83"/>
    </i>
    <i r="1">
      <x v="84"/>
    </i>
    <i r="1">
      <x v="90"/>
    </i>
    <i r="1">
      <x v="91"/>
    </i>
    <i r="1">
      <x v="92"/>
    </i>
    <i r="1">
      <x v="100"/>
    </i>
    <i r="1">
      <x v="105"/>
    </i>
    <i r="1">
      <x v="106"/>
    </i>
    <i r="1">
      <x v="110"/>
    </i>
    <i r="1">
      <x v="120"/>
    </i>
    <i r="1">
      <x v="121"/>
    </i>
    <i r="1">
      <x v="125"/>
    </i>
    <i r="1">
      <x v="128"/>
    </i>
    <i r="1">
      <x v="134"/>
    </i>
    <i r="1">
      <x v="135"/>
    </i>
    <i r="1">
      <x v="137"/>
    </i>
    <i r="1">
      <x v="138"/>
    </i>
    <i r="1">
      <x v="141"/>
    </i>
    <i r="1">
      <x v="143"/>
    </i>
    <i r="1">
      <x v="144"/>
    </i>
    <i r="1">
      <x v="147"/>
    </i>
    <i r="1">
      <x v="148"/>
    </i>
    <i r="1">
      <x v="149"/>
    </i>
    <i r="1">
      <x v="152"/>
    </i>
    <i r="1">
      <x v="153"/>
    </i>
    <i r="1">
      <x v="161"/>
    </i>
    <i r="1">
      <x v="162"/>
    </i>
    <i r="1">
      <x v="167"/>
    </i>
    <i r="1">
      <x v="172"/>
    </i>
    <i r="1">
      <x v="174"/>
    </i>
    <i r="1">
      <x v="175"/>
    </i>
    <i r="1">
      <x v="176"/>
    </i>
    <i r="1">
      <x v="177"/>
    </i>
    <i r="1">
      <x v="182"/>
    </i>
    <i r="1">
      <x v="188"/>
    </i>
    <i r="1">
      <x v="191"/>
    </i>
    <i r="1">
      <x v="192"/>
    </i>
    <i r="1">
      <x v="196"/>
    </i>
    <i r="1">
      <x v="197"/>
    </i>
    <i r="1">
      <x v="198"/>
    </i>
    <i r="1">
      <x v="200"/>
    </i>
    <i r="1">
      <x v="203"/>
    </i>
    <i r="1">
      <x v="205"/>
    </i>
    <i r="1">
      <x v="207"/>
    </i>
    <i r="1">
      <x v="213"/>
    </i>
    <i r="1">
      <x v="214"/>
    </i>
    <i r="1">
      <x v="217"/>
    </i>
    <i r="1">
      <x v="218"/>
    </i>
    <i r="1">
      <x v="222"/>
    </i>
    <i r="1">
      <x v="228"/>
    </i>
    <i r="1">
      <x v="229"/>
    </i>
    <i r="1">
      <x v="233"/>
    </i>
    <i r="1">
      <x v="238"/>
    </i>
    <i r="1">
      <x v="240"/>
    </i>
    <i r="1">
      <x v="243"/>
    </i>
    <i r="1">
      <x v="246"/>
    </i>
    <i r="1">
      <x v="248"/>
    </i>
    <i t="grand">
      <x/>
    </i>
  </rowItems>
  <colItems count="1">
    <i/>
  </colItems>
  <dataFields count="1">
    <dataField name="Sum of Total_Amount" fld="13"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DDA9CDD-827B-4EEA-9292-AA9EE94EE8E8}" name="PivotTable6"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
  <location ref="D2:E18" firstHeaderRow="1" firstDataRow="1" firstDataCol="1"/>
  <pivotFields count="18">
    <pivotField showAll="0"/>
    <pivotField numFmtId="14" showAll="0">
      <items count="1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t="default"/>
      </items>
    </pivotField>
    <pivotField showAll="0"/>
    <pivotField showAll="0"/>
    <pivotField showAll="0"/>
    <pivotField showAll="0"/>
    <pivotField showAll="0">
      <items count="4">
        <item x="1"/>
        <item x="0"/>
        <item x="2"/>
        <item t="default"/>
      </items>
    </pivotField>
    <pivotField numFmtId="2" showAll="0"/>
    <pivotField numFmtId="164" showAll="0"/>
    <pivotField showAll="0"/>
    <pivotField showAll="0"/>
    <pivotField showAll="0">
      <items count="4">
        <item x="0"/>
        <item x="1"/>
        <item x="2"/>
        <item t="default"/>
      </items>
    </pivotField>
    <pivotField numFmtId="14" showAll="0"/>
    <pivotField dataField="1" numFmtId="164" showAll="0"/>
    <pivotField numFmtId="165" showAll="0"/>
    <pivotField showAll="0"/>
    <pivotField axis="axisRow" showAll="0">
      <items count="15">
        <item x="0"/>
        <item x="1"/>
        <item x="2"/>
        <item x="3"/>
        <item x="4"/>
        <item x="5"/>
        <item x="6"/>
        <item x="7"/>
        <item x="8"/>
        <item x="9"/>
        <item x="10"/>
        <item x="11"/>
        <item x="12"/>
        <item x="13"/>
        <item t="default"/>
      </items>
    </pivotField>
    <pivotField axis="axisRow" showAll="0">
      <items count="5">
        <item x="0"/>
        <item x="1"/>
        <item x="2"/>
        <item x="3"/>
        <item t="default"/>
      </items>
    </pivotField>
  </pivotFields>
  <rowFields count="2">
    <field x="17"/>
    <field x="16"/>
  </rowFields>
  <rowItems count="16">
    <i>
      <x v="1"/>
    </i>
    <i r="1">
      <x v="4"/>
    </i>
    <i r="1">
      <x v="5"/>
    </i>
    <i r="1">
      <x v="6"/>
    </i>
    <i r="1">
      <x v="7"/>
    </i>
    <i r="1">
      <x v="8"/>
    </i>
    <i r="1">
      <x v="9"/>
    </i>
    <i r="1">
      <x v="10"/>
    </i>
    <i r="1">
      <x v="11"/>
    </i>
    <i r="1">
      <x v="12"/>
    </i>
    <i>
      <x v="2"/>
    </i>
    <i r="1">
      <x v="1"/>
    </i>
    <i r="1">
      <x v="2"/>
    </i>
    <i r="1">
      <x v="3"/>
    </i>
    <i r="1">
      <x v="4"/>
    </i>
    <i t="grand">
      <x/>
    </i>
  </rowItems>
  <colItems count="1">
    <i/>
  </colItems>
  <dataFields count="1">
    <dataField name="Sum of Total_Amount" fld="13" baseField="0" baseItem="0" numFmtId="164"/>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3B06CC8-F1C3-4CAF-8EA3-2866BF8F6E92}"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G16:H20" firstHeaderRow="1" firstDataRow="1" firstDataCol="1"/>
  <pivotFields count="18">
    <pivotField showAll="0"/>
    <pivotField numFmtId="14" showAll="0">
      <items count="1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t="default"/>
      </items>
    </pivotField>
    <pivotField showAll="0"/>
    <pivotField showAll="0"/>
    <pivotField showAll="0"/>
    <pivotField showAll="0"/>
    <pivotField axis="axisRow" showAll="0">
      <items count="4">
        <item x="1"/>
        <item x="0"/>
        <item x="2"/>
        <item t="default"/>
      </items>
    </pivotField>
    <pivotField numFmtId="2" showAll="0"/>
    <pivotField numFmtId="164" showAll="0"/>
    <pivotField showAll="0"/>
    <pivotField showAll="0"/>
    <pivotField showAll="0">
      <items count="4">
        <item x="0"/>
        <item x="1"/>
        <item x="2"/>
        <item t="default"/>
      </items>
    </pivotField>
    <pivotField numFmtId="14" showAll="0"/>
    <pivotField dataField="1" numFmtId="164" showAll="0"/>
    <pivotField numFmtId="165" showAll="0"/>
    <pivotField showAll="0"/>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s>
  <rowFields count="1">
    <field x="6"/>
  </rowFields>
  <rowItems count="4">
    <i>
      <x/>
    </i>
    <i>
      <x v="1"/>
    </i>
    <i>
      <x v="2"/>
    </i>
    <i t="grand">
      <x/>
    </i>
  </rowItems>
  <colItems count="1">
    <i/>
  </colItems>
  <dataFields count="1">
    <dataField name="Sum of Total_Amount" fld="13" baseField="0" baseItem="0" numFmtId="164"/>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6" count="1" selected="0">
            <x v="0"/>
          </reference>
        </references>
      </pivotArea>
    </chartFormat>
    <chartFormat chart="0" format="2">
      <pivotArea type="data" outline="0" fieldPosition="0">
        <references count="2">
          <reference field="4294967294" count="1" selected="0">
            <x v="0"/>
          </reference>
          <reference field="6" count="1" selected="0">
            <x v="1"/>
          </reference>
        </references>
      </pivotArea>
    </chartFormat>
    <chartFormat chart="0" format="3">
      <pivotArea type="data" outline="0" fieldPosition="0">
        <references count="2">
          <reference field="4294967294" count="1" selected="0">
            <x v="0"/>
          </reference>
          <reference field="6" count="1" selected="0">
            <x v="2"/>
          </reference>
        </references>
      </pivotArea>
    </chartFormat>
    <chartFormat chart="3" format="8" series="1">
      <pivotArea type="data" outline="0" fieldPosition="0">
        <references count="1">
          <reference field="4294967294" count="1" selected="0">
            <x v="0"/>
          </reference>
        </references>
      </pivotArea>
    </chartFormat>
    <chartFormat chart="3" format="9">
      <pivotArea type="data" outline="0" fieldPosition="0">
        <references count="2">
          <reference field="4294967294" count="1" selected="0">
            <x v="0"/>
          </reference>
          <reference field="6" count="1" selected="0">
            <x v="0"/>
          </reference>
        </references>
      </pivotArea>
    </chartFormat>
    <chartFormat chart="3" format="10">
      <pivotArea type="data" outline="0" fieldPosition="0">
        <references count="2">
          <reference field="4294967294" count="1" selected="0">
            <x v="0"/>
          </reference>
          <reference field="6" count="1" selected="0">
            <x v="1"/>
          </reference>
        </references>
      </pivotArea>
    </chartFormat>
    <chartFormat chart="3" format="11">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FF376B2D-BAEA-4C54-80F4-D00F6698C9B3}" sourceName="Category">
  <pivotTables>
    <pivotTable tabId="3" name="PivotTable3"/>
    <pivotTable tabId="3" name="PivotTable4"/>
    <pivotTable tabId="3" name="PivotTable5"/>
    <pivotTable tabId="3" name="PivotTable6"/>
    <pivotTable tabId="3" name="PivotTable7"/>
  </pivotTables>
  <data>
    <tabular pivotCacheId="577865396">
      <items count="3">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EE9595E1-AF99-4FA9-900A-9FEB841CC79A}" sourceName="Payment_Method">
  <pivotTables>
    <pivotTable tabId="3" name="PivotTable3"/>
  </pivotTables>
  <data>
    <tabular pivotCacheId="577865396">
      <items count="4">
        <i x="0" s="1"/>
        <i x="1" s="1"/>
        <i x="3"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DF23F8B9-66A7-411D-9518-700EB3CB6AC6}" sourceName="Region">
  <pivotTables>
    <pivotTable tabId="3" name="PivotTable3"/>
  </pivotTables>
  <data>
    <tabular pivotCacheId="577865396">
      <items count="5">
        <i x="0" s="1"/>
        <i x="4" s="1"/>
        <i x="2" s="1"/>
        <i x="1"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Segment" xr10:uid="{B76FAB32-C958-4035-91EF-E4250751951A}" sourceName="Customer_Segment">
  <pivotTables>
    <pivotTable tabId="3" name="PivotTable3"/>
    <pivotTable tabId="3" name="PivotTable4"/>
    <pivotTable tabId="3" name="PivotTable5"/>
    <pivotTable tabId="3" name="PivotTable6"/>
    <pivotTable tabId="3" name="PivotTable7"/>
  </pivotTables>
  <data>
    <tabular pivotCacheId="577865396">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2E3911D6-0F60-43EA-8169-5EEB82600F76}" cache="Slicer_Category" caption="Category" rowHeight="222250"/>
  <slicer name="Payment_Method" xr10:uid="{E64420B4-FF91-4684-9D2C-E81ADC410929}" cache="Slicer_Payment_Method" caption="Payment_Method" rowHeight="222250"/>
  <slicer name="Region" xr10:uid="{DC7A2714-7786-405B-B193-D8C74F361BB8}" cache="Slicer_Region" caption="Region" rowHeight="222250"/>
  <slicer name="Customer_Segment" xr10:uid="{391F9E6E-C56C-467F-92D7-F9A6E71AEB88}" cache="Slicer_Customer_Segment" caption="Customer_Segment" rowHeight="2222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627D3186-29D2-4A2A-A132-F1125A2AA459}" cache="Slicer_Category" caption="Category" rowHeight="222250"/>
  <slicer name="Payment_Method 1" xr10:uid="{04871BAF-9F72-4840-8F53-A9B8DF72AEE3}" cache="Slicer_Payment_Method" caption="Payment_Method" rowHeight="222250"/>
  <slicer name="Region 1" xr10:uid="{AB889ADD-A66C-4809-92E8-5AE2DFEF952C}" cache="Slicer_Region" caption="Region" rowHeight="222250"/>
  <slicer name="Customer_Segment 1" xr10:uid="{988D2A06-FAC1-4A68-9094-806B0E59F663}" cache="Slicer_Customer_Segment" caption="Customer_Segment" rowHeight="2222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796D94A-5A43-4FFD-8D49-5F8A8DB5BFC7}" name="tblTransactions" displayName="tblTransactions" ref="A1:P251" totalsRowShown="0" headerRowDxfId="33" dataDxfId="31" headerRowBorderDxfId="32" tableBorderDxfId="30" totalsRowBorderDxfId="29">
  <autoFilter ref="A1:P251" xr:uid="{F796D94A-5A43-4FFD-8D49-5F8A8DB5BFC7}"/>
  <tableColumns count="16">
    <tableColumn id="1" xr3:uid="{F6AA2FA5-869C-4A2A-8FA1-4520E317B448}" name="Transaction_ID" dataDxfId="28"/>
    <tableColumn id="2" xr3:uid="{7C9B5850-48BC-4371-ACEB-CEB2B6A8CB89}" name="Date" dataDxfId="27"/>
    <tableColumn id="3" xr3:uid="{E1788EF1-80CE-4305-AC41-21E8934DC0D3}" name="Customer_ID" dataDxfId="26"/>
    <tableColumn id="4" xr3:uid="{AAC52C1C-AF9C-4622-84E1-4A0349764C65}" name="Customer_Name" dataDxfId="25"/>
    <tableColumn id="5" xr3:uid="{4A6942E8-44F3-44A7-A5D1-F451093248FD}" name="Product_ID" dataDxfId="24"/>
    <tableColumn id="6" xr3:uid="{3706BB2E-8476-469A-B495-71BF59D5B4E2}" name="Product_Name" dataDxfId="23"/>
    <tableColumn id="7" xr3:uid="{20CC5FBC-9CE2-4B34-B8F9-F5CDEBCC613A}" name="Category" dataDxfId="22"/>
    <tableColumn id="8" xr3:uid="{DD1A7FF8-16D3-4D48-85E5-6E94906501EA}" name="Quantity" dataDxfId="21"/>
    <tableColumn id="9" xr3:uid="{8C9648F2-27CF-4AF1-8709-E57F8B61F920}" name="Unit_Price" dataDxfId="20"/>
    <tableColumn id="10" xr3:uid="{D98E5FF2-5379-45FD-AB25-6E9023705385}" name="Payment_Method" dataDxfId="19"/>
    <tableColumn id="11" xr3:uid="{5207E753-912F-4823-8A88-E36ABE788484}" name="Region" dataDxfId="18"/>
    <tableColumn id="12" xr3:uid="{AF6081AB-AE03-4809-B236-2FE45B7582B3}" name="Customer_Segment" dataDxfId="17"/>
    <tableColumn id="13" xr3:uid="{07987FB9-D2BB-4C84-A09B-6DAF4A1E5824}" name="Customer_Since" dataDxfId="16"/>
    <tableColumn id="14" xr3:uid="{98547A70-0A38-4092-A1DF-FCB0FAC0EBD7}" name="Total_Amount" dataDxfId="15"/>
    <tableColumn id="16" xr3:uid="{9C3A36D1-72D8-49AB-A0D9-F1AC995641D3}" name="Create_Timestamp" dataDxfId="14">
      <calculatedColumnFormula>IF(A2&lt;&gt;"",NOW(),"")</calculatedColumnFormula>
    </tableColumn>
    <tableColumn id="17" xr3:uid="{9BCA1E43-227D-4E4A-AB0F-5F9234EBD3FA}" name="Transaction_Level" dataDxfId="13">
      <calculatedColumnFormula>IF(N2&gt;=1000,"High",IF(N2&gt;=500,"Medium","Low"))</calculatedColumnFormula>
    </tableColumn>
  </tableColumns>
  <tableStyleInfo name="TableStyleMedium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83E40C4-8474-41D2-8DC4-F306549CC05F}" name="Table2" displayName="Table2" ref="A1:D7">
  <autoFilter ref="A1:D7" xr:uid="{183E40C4-8474-41D2-8DC4-F306549CC05F}"/>
  <tableColumns count="4">
    <tableColumn id="1" xr3:uid="{DF630126-CAA7-43D7-9D17-95D74C6F7100}" name="Product List 1" totalsRowLabel="Total" dataDxfId="12" totalsRowDxfId="11"/>
    <tableColumn id="2" xr3:uid="{63C027F9-6F8D-4213-80B7-64F9A3BE1EA1}" name="Product List 2" dataDxfId="10" totalsRowDxfId="9"/>
    <tableColumn id="3" xr3:uid="{E9FE9884-B7A4-463F-94FC-78DC5D0D5FEC}" name="Comparison Result">
      <calculatedColumnFormula>IF(COUNTIF($B$2:$B$7,A2)&gt;0,"Common","Not Found")</calculatedColumnFormula>
    </tableColumn>
    <tableColumn id="4" xr3:uid="{AB418D00-7FCC-4DF6-9D74-BDBB74618910}" name="List 2 Comparison" totalsRowFunction="count">
      <calculatedColumnFormula>IF(COUNTIF($A$2:$A$7,B2)&gt;0,"Common","Not Found")</calculatedColumnFormula>
    </tableColumn>
  </tableColumns>
  <tableStyleInfo name="TableStyleMedium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5F1EC50-AB03-411C-93A7-648EABF873FA}" name="Table3" displayName="Table3" ref="A10:B15" totalsRowShown="0" headerRowDxfId="8" dataDxfId="7">
  <autoFilter ref="A10:B15" xr:uid="{F5F1EC50-AB03-411C-93A7-648EABF873FA}"/>
  <tableColumns count="2">
    <tableColumn id="1" xr3:uid="{45577DCF-EB5C-4BAB-87DB-0F4A619F7245}" name="Full Name" dataDxfId="6"/>
    <tableColumn id="2" xr3:uid="{09E13B3D-B5ED-4C9F-ADAB-81B56A9D074E}" name="Abbreviation" dataDxfId="5">
      <calculatedColumnFormula>LEFT(A11,1)&amp;MID(A11,FIND(" ",A11)+1,1)</calculatedColumnFormula>
    </tableColumn>
  </tableColumns>
  <tableStyleInfo name="TableStyleMedium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3B0C989-F8BD-4031-A588-E55CF052F777}" name="Table4" displayName="Table4" ref="A70:E74" headerRowCount="0" totalsRowShown="0">
  <tableColumns count="5">
    <tableColumn id="1" xr3:uid="{14B74A0F-5411-4C0C-9837-2B45731067D3}" name="Column1"/>
    <tableColumn id="2" xr3:uid="{75B1CD0E-30F3-4A03-95B6-1AEEDB3602E3}" name="Column2"/>
    <tableColumn id="3" xr3:uid="{600C5095-216E-4B76-8902-76248D7C40DB}" name="Column3"/>
    <tableColumn id="4" xr3:uid="{6A08DBFF-07B6-4929-834D-EA537D3EF386}" name="Column4"/>
    <tableColumn id="5" xr3:uid="{ED71C66B-BCA8-4464-A119-8172EF3EA3A7}" name="Column5"/>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3603A9C2-0BE2-47C3-8D4F-B71EE200FF8E}" sourceName="Date">
  <pivotTables>
    <pivotTable tabId="3" name="PivotTable6"/>
  </pivotTables>
  <state minimalRefreshVersion="6" lastRefreshVersion="6" pivotCacheId="577865396" filterType="unknown">
    <bounds startDate="2024-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78716FB9-D6CB-4F47-93D1-40D2D27021B8}" cache="NativeTimeline_Date" caption="Date" level="2" selectionLevel="2" scrollPosition="2025-06-06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1" xr10:uid="{61EFFF0E-0CDD-4134-B65E-250399D3C9C2}" cache="NativeTimeline_Date" caption="Date" level="2" selectionLevel="2" scrollPosition="2024-08-18T00:00:00"/>
</timelines>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8" Type="http://schemas.microsoft.com/office/2011/relationships/timeline" Target="../timelines/timeline1.xml"/><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table" Target="../tables/table2.xml"/></Relationships>
</file>

<file path=xl/worksheets/_rels/sheet9.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4.bin"/><Relationship Id="rId4" Type="http://schemas.microsoft.com/office/2011/relationships/timeline" Target="../timelines/timeline2.xml"/></Relationships>
</file>

<file path=xl/worksheets/_rels/sheet10.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B6D465-8ED4-44E1-9603-03062001EC84}">
  <dimension ref="A1:P251"/>
  <sheetViews>
    <sheetView workbookViewId="0">
      <selection activeCell="A2" sqref="A2"/>
    </sheetView>
  </sheetViews>
  <sheetFormatPr defaultRowHeight="14"/>
  <cols>
    <col min="1" max="1" width="15.453125" customWidth="1"/>
    <col min="2" max="2" width="14.81640625" style="1" customWidth="1"/>
    <col min="3" max="3" width="14" customWidth="1"/>
    <col min="4" max="4" width="18" customWidth="1"/>
    <col min="5" max="5" width="16.81640625" customWidth="1"/>
    <col min="6" max="6" width="17.453125" customWidth="1"/>
    <col min="7" max="7" width="15.54296875" customWidth="1"/>
    <col min="8" max="8" width="10.1796875" style="22" customWidth="1"/>
    <col min="9" max="9" width="13.1796875" style="15" customWidth="1"/>
    <col min="10" max="10" width="19.1796875" customWidth="1"/>
    <col min="12" max="12" width="21.08984375" customWidth="1"/>
    <col min="13" max="13" width="17.453125" style="1" customWidth="1"/>
    <col min="14" max="14" width="19.81640625" style="15" customWidth="1"/>
    <col min="15" max="15" width="18.1796875" customWidth="1"/>
    <col min="16" max="16" width="20.1796875" customWidth="1"/>
  </cols>
  <sheetData>
    <row r="1" spans="1:16" ht="15" thickBot="1">
      <c r="A1" s="6" t="s">
        <v>0</v>
      </c>
      <c r="B1" s="11" t="s">
        <v>1</v>
      </c>
      <c r="C1" s="7" t="s">
        <v>2</v>
      </c>
      <c r="D1" s="7" t="s">
        <v>3</v>
      </c>
      <c r="E1" s="7" t="s">
        <v>4</v>
      </c>
      <c r="F1" s="7" t="s">
        <v>5</v>
      </c>
      <c r="G1" s="7" t="s">
        <v>6</v>
      </c>
      <c r="H1" s="19" t="s">
        <v>7</v>
      </c>
      <c r="I1" s="12" t="s">
        <v>8</v>
      </c>
      <c r="J1" s="7" t="s">
        <v>9</v>
      </c>
      <c r="K1" s="7" t="s">
        <v>10</v>
      </c>
      <c r="L1" s="7" t="s">
        <v>11</v>
      </c>
      <c r="M1" s="11" t="s">
        <v>12</v>
      </c>
      <c r="N1" s="16" t="s">
        <v>13</v>
      </c>
      <c r="O1" s="7" t="s">
        <v>411</v>
      </c>
      <c r="P1" s="7" t="s">
        <v>412</v>
      </c>
    </row>
    <row r="2" spans="1:16" ht="15" thickBot="1">
      <c r="A2" s="5" t="s">
        <v>14</v>
      </c>
      <c r="B2" s="3">
        <v>45393</v>
      </c>
      <c r="C2" s="2" t="s">
        <v>15</v>
      </c>
      <c r="D2" s="2" t="s">
        <v>16</v>
      </c>
      <c r="E2" s="2" t="s">
        <v>17</v>
      </c>
      <c r="F2" s="2" t="s">
        <v>18</v>
      </c>
      <c r="G2" s="2" t="s">
        <v>19</v>
      </c>
      <c r="H2" s="20">
        <v>3</v>
      </c>
      <c r="I2" s="13">
        <v>249.99</v>
      </c>
      <c r="J2" s="2" t="s">
        <v>20</v>
      </c>
      <c r="K2" s="2" t="s">
        <v>21</v>
      </c>
      <c r="L2" s="2" t="s">
        <v>22</v>
      </c>
      <c r="M2" s="3">
        <v>44425</v>
      </c>
      <c r="N2" s="17">
        <v>749.97</v>
      </c>
      <c r="O2" s="27">
        <f ca="1">IF(A2&lt;&gt;"",NOW(),"")</f>
        <v>46324.554708217591</v>
      </c>
      <c r="P2" s="28" t="str">
        <f t="shared" ref="P2:P65" si="0">IF(N2&gt;=1000,"High",IF(N2&gt;=500,"Medium","Low"))</f>
        <v>Medium</v>
      </c>
    </row>
    <row r="3" spans="1:16" ht="15" thickBot="1">
      <c r="A3" s="5" t="s">
        <v>23</v>
      </c>
      <c r="B3" s="3">
        <v>45396</v>
      </c>
      <c r="C3" s="2" t="s">
        <v>24</v>
      </c>
      <c r="D3" s="2" t="s">
        <v>25</v>
      </c>
      <c r="E3" s="2" t="s">
        <v>17</v>
      </c>
      <c r="F3" s="2" t="s">
        <v>18</v>
      </c>
      <c r="G3" s="2" t="s">
        <v>19</v>
      </c>
      <c r="H3" s="20">
        <v>3</v>
      </c>
      <c r="I3" s="13">
        <v>249.99</v>
      </c>
      <c r="J3" s="2" t="s">
        <v>26</v>
      </c>
      <c r="K3" s="2" t="s">
        <v>21</v>
      </c>
      <c r="L3" s="2" t="s">
        <v>27</v>
      </c>
      <c r="M3" s="3">
        <v>44575</v>
      </c>
      <c r="N3" s="17">
        <v>749.97</v>
      </c>
      <c r="O3" s="27">
        <f t="shared" ref="O3:O65" ca="1" si="1">IF(A3&lt;&gt;"",NOW(),"")</f>
        <v>46324.554708333337</v>
      </c>
      <c r="P3" s="28" t="str">
        <f t="shared" si="0"/>
        <v>Medium</v>
      </c>
    </row>
    <row r="4" spans="1:16" ht="15" thickBot="1">
      <c r="A4" s="5" t="s">
        <v>28</v>
      </c>
      <c r="B4" s="3">
        <v>45399</v>
      </c>
      <c r="C4" s="2" t="s">
        <v>29</v>
      </c>
      <c r="D4" s="2" t="s">
        <v>30</v>
      </c>
      <c r="E4" s="2" t="s">
        <v>31</v>
      </c>
      <c r="F4" s="2" t="s">
        <v>32</v>
      </c>
      <c r="G4" s="2" t="s">
        <v>33</v>
      </c>
      <c r="H4" s="20">
        <v>3</v>
      </c>
      <c r="I4" s="13">
        <v>59.99</v>
      </c>
      <c r="J4" s="2" t="s">
        <v>34</v>
      </c>
      <c r="K4" s="2" t="s">
        <v>35</v>
      </c>
      <c r="L4" s="2" t="s">
        <v>36</v>
      </c>
      <c r="M4" s="3">
        <v>45262</v>
      </c>
      <c r="N4" s="17">
        <v>179.97</v>
      </c>
      <c r="O4" s="27">
        <f t="shared" ca="1" si="1"/>
        <v>46324.554708333337</v>
      </c>
      <c r="P4" s="28" t="str">
        <f t="shared" si="0"/>
        <v>Low</v>
      </c>
    </row>
    <row r="5" spans="1:16" ht="15" thickBot="1">
      <c r="A5" s="5" t="s">
        <v>37</v>
      </c>
      <c r="B5" s="3">
        <v>45400</v>
      </c>
      <c r="C5" s="2" t="s">
        <v>38</v>
      </c>
      <c r="D5" s="2" t="s">
        <v>39</v>
      </c>
      <c r="E5" s="2" t="s">
        <v>31</v>
      </c>
      <c r="F5" s="2" t="s">
        <v>32</v>
      </c>
      <c r="G5" s="2" t="s">
        <v>33</v>
      </c>
      <c r="H5" s="20">
        <v>3</v>
      </c>
      <c r="I5" s="13">
        <v>59.99</v>
      </c>
      <c r="J5" s="2" t="s">
        <v>20</v>
      </c>
      <c r="K5" s="2" t="s">
        <v>40</v>
      </c>
      <c r="L5" s="2" t="s">
        <v>27</v>
      </c>
      <c r="M5" s="3">
        <v>45114</v>
      </c>
      <c r="N5" s="17">
        <v>179.97</v>
      </c>
      <c r="O5" s="27">
        <f t="shared" ca="1" si="1"/>
        <v>46324.554708333337</v>
      </c>
      <c r="P5" s="28" t="str">
        <f t="shared" si="0"/>
        <v>Low</v>
      </c>
    </row>
    <row r="6" spans="1:16" ht="15" thickBot="1">
      <c r="A6" s="5" t="s">
        <v>41</v>
      </c>
      <c r="B6" s="3">
        <v>45400</v>
      </c>
      <c r="C6" s="2" t="s">
        <v>42</v>
      </c>
      <c r="D6" s="2" t="s">
        <v>43</v>
      </c>
      <c r="E6" s="2" t="s">
        <v>44</v>
      </c>
      <c r="F6" s="2" t="s">
        <v>45</v>
      </c>
      <c r="G6" s="2" t="s">
        <v>46</v>
      </c>
      <c r="H6" s="20">
        <v>5</v>
      </c>
      <c r="I6" s="13">
        <v>149.99</v>
      </c>
      <c r="J6" s="2" t="s">
        <v>26</v>
      </c>
      <c r="K6" s="2" t="s">
        <v>40</v>
      </c>
      <c r="L6" s="2" t="s">
        <v>27</v>
      </c>
      <c r="M6" s="3">
        <v>45295</v>
      </c>
      <c r="N6" s="17">
        <v>749.95</v>
      </c>
      <c r="O6" s="27">
        <f t="shared" ca="1" si="1"/>
        <v>46324.554708333337</v>
      </c>
      <c r="P6" s="28" t="str">
        <f t="shared" si="0"/>
        <v>Medium</v>
      </c>
    </row>
    <row r="7" spans="1:16" ht="15" thickBot="1">
      <c r="A7" s="5" t="s">
        <v>47</v>
      </c>
      <c r="B7" s="3">
        <v>45403</v>
      </c>
      <c r="C7" s="2" t="s">
        <v>48</v>
      </c>
      <c r="D7" s="2" t="s">
        <v>49</v>
      </c>
      <c r="E7" s="2" t="s">
        <v>31</v>
      </c>
      <c r="F7" s="2" t="s">
        <v>32</v>
      </c>
      <c r="G7" s="2" t="s">
        <v>33</v>
      </c>
      <c r="H7" s="20">
        <v>2</v>
      </c>
      <c r="I7" s="13">
        <v>59.99</v>
      </c>
      <c r="J7" s="2" t="s">
        <v>20</v>
      </c>
      <c r="K7" s="2" t="s">
        <v>50</v>
      </c>
      <c r="L7" s="2" t="s">
        <v>36</v>
      </c>
      <c r="M7" s="3">
        <v>44746</v>
      </c>
      <c r="N7" s="17">
        <v>119.98</v>
      </c>
      <c r="O7" s="27">
        <f t="shared" ca="1" si="1"/>
        <v>46324.554708333337</v>
      </c>
      <c r="P7" s="28" t="str">
        <f t="shared" si="0"/>
        <v>Low</v>
      </c>
    </row>
    <row r="8" spans="1:16" ht="15" thickBot="1">
      <c r="A8" s="5" t="s">
        <v>51</v>
      </c>
      <c r="B8" s="3">
        <v>45403</v>
      </c>
      <c r="C8" s="2" t="s">
        <v>48</v>
      </c>
      <c r="D8" s="2" t="s">
        <v>49</v>
      </c>
      <c r="E8" s="2" t="s">
        <v>52</v>
      </c>
      <c r="F8" s="2" t="s">
        <v>53</v>
      </c>
      <c r="G8" s="2" t="s">
        <v>19</v>
      </c>
      <c r="H8" s="20">
        <v>5</v>
      </c>
      <c r="I8" s="13">
        <v>149.99</v>
      </c>
      <c r="J8" s="2" t="s">
        <v>26</v>
      </c>
      <c r="K8" s="2" t="s">
        <v>21</v>
      </c>
      <c r="L8" s="2" t="s">
        <v>36</v>
      </c>
      <c r="M8" s="3">
        <v>44418</v>
      </c>
      <c r="N8" s="17">
        <v>749.95</v>
      </c>
      <c r="O8" s="27">
        <f t="shared" ca="1" si="1"/>
        <v>46324.554708333337</v>
      </c>
      <c r="P8" s="28" t="str">
        <f t="shared" si="0"/>
        <v>Medium</v>
      </c>
    </row>
    <row r="9" spans="1:16" ht="15" thickBot="1">
      <c r="A9" s="5" t="s">
        <v>54</v>
      </c>
      <c r="B9" s="3">
        <v>45403</v>
      </c>
      <c r="C9" s="2" t="s">
        <v>55</v>
      </c>
      <c r="D9" s="2" t="s">
        <v>56</v>
      </c>
      <c r="E9" s="2" t="s">
        <v>31</v>
      </c>
      <c r="F9" s="2" t="s">
        <v>32</v>
      </c>
      <c r="G9" s="2" t="s">
        <v>33</v>
      </c>
      <c r="H9" s="20">
        <v>3</v>
      </c>
      <c r="I9" s="13">
        <v>59.99</v>
      </c>
      <c r="J9" s="2" t="s">
        <v>57</v>
      </c>
      <c r="K9" s="2" t="s">
        <v>35</v>
      </c>
      <c r="L9" s="2" t="s">
        <v>22</v>
      </c>
      <c r="M9" s="3">
        <v>45007</v>
      </c>
      <c r="N9" s="17">
        <v>179.97</v>
      </c>
      <c r="O9" s="27">
        <f t="shared" ca="1" si="1"/>
        <v>46324.554708333337</v>
      </c>
      <c r="P9" s="28" t="str">
        <f t="shared" si="0"/>
        <v>Low</v>
      </c>
    </row>
    <row r="10" spans="1:16" ht="15" thickBot="1">
      <c r="A10" s="5" t="s">
        <v>58</v>
      </c>
      <c r="B10" s="3">
        <v>45405</v>
      </c>
      <c r="C10" s="2" t="s">
        <v>59</v>
      </c>
      <c r="D10" s="2" t="s">
        <v>60</v>
      </c>
      <c r="E10" s="2" t="s">
        <v>61</v>
      </c>
      <c r="F10" s="2" t="s">
        <v>62</v>
      </c>
      <c r="G10" s="2" t="s">
        <v>19</v>
      </c>
      <c r="H10" s="20">
        <v>3</v>
      </c>
      <c r="I10" s="13">
        <v>899.99</v>
      </c>
      <c r="J10" s="2" t="s">
        <v>34</v>
      </c>
      <c r="K10" s="2" t="s">
        <v>63</v>
      </c>
      <c r="L10" s="2" t="s">
        <v>36</v>
      </c>
      <c r="M10" s="3">
        <v>45299</v>
      </c>
      <c r="N10" s="17">
        <v>2699.97</v>
      </c>
      <c r="O10" s="27">
        <f t="shared" ca="1" si="1"/>
        <v>46324.554708333337</v>
      </c>
      <c r="P10" s="28" t="str">
        <f t="shared" si="0"/>
        <v>High</v>
      </c>
    </row>
    <row r="11" spans="1:16" ht="15" thickBot="1">
      <c r="A11" s="5" t="s">
        <v>64</v>
      </c>
      <c r="B11" s="3">
        <v>45408</v>
      </c>
      <c r="C11" s="2" t="s">
        <v>65</v>
      </c>
      <c r="D11" s="2" t="s">
        <v>66</v>
      </c>
      <c r="E11" s="2" t="s">
        <v>31</v>
      </c>
      <c r="F11" s="2" t="s">
        <v>32</v>
      </c>
      <c r="G11" s="2" t="s">
        <v>33</v>
      </c>
      <c r="H11" s="20">
        <v>3</v>
      </c>
      <c r="I11" s="13">
        <v>59.99</v>
      </c>
      <c r="J11" s="2" t="s">
        <v>20</v>
      </c>
      <c r="K11" s="2" t="s">
        <v>50</v>
      </c>
      <c r="L11" s="2" t="s">
        <v>27</v>
      </c>
      <c r="M11" s="3">
        <v>45207</v>
      </c>
      <c r="N11" s="17">
        <v>179.97</v>
      </c>
      <c r="O11" s="27">
        <f t="shared" ca="1" si="1"/>
        <v>46324.554708333337</v>
      </c>
      <c r="P11" s="28" t="str">
        <f t="shared" si="0"/>
        <v>Low</v>
      </c>
    </row>
    <row r="12" spans="1:16" ht="15" thickBot="1">
      <c r="A12" s="5" t="s">
        <v>67</v>
      </c>
      <c r="B12" s="3">
        <v>45408</v>
      </c>
      <c r="C12" s="2" t="s">
        <v>68</v>
      </c>
      <c r="D12" s="2" t="s">
        <v>69</v>
      </c>
      <c r="E12" s="2" t="s">
        <v>44</v>
      </c>
      <c r="F12" s="2" t="s">
        <v>45</v>
      </c>
      <c r="G12" s="2" t="s">
        <v>46</v>
      </c>
      <c r="H12" s="20">
        <v>1</v>
      </c>
      <c r="I12" s="13">
        <v>149.99</v>
      </c>
      <c r="J12" s="2" t="s">
        <v>26</v>
      </c>
      <c r="K12" s="2" t="s">
        <v>50</v>
      </c>
      <c r="L12" s="2" t="s">
        <v>36</v>
      </c>
      <c r="M12" s="3">
        <v>45103</v>
      </c>
      <c r="N12" s="17">
        <v>149.99</v>
      </c>
      <c r="O12" s="27">
        <f t="shared" ca="1" si="1"/>
        <v>46324.554708333337</v>
      </c>
      <c r="P12" s="28" t="str">
        <f t="shared" si="0"/>
        <v>Low</v>
      </c>
    </row>
    <row r="13" spans="1:16" ht="15" thickBot="1">
      <c r="A13" s="5" t="s">
        <v>70</v>
      </c>
      <c r="B13" s="3">
        <v>45408</v>
      </c>
      <c r="C13" s="2" t="s">
        <v>38</v>
      </c>
      <c r="D13" s="2" t="s">
        <v>39</v>
      </c>
      <c r="E13" s="2" t="s">
        <v>44</v>
      </c>
      <c r="F13" s="2" t="s">
        <v>45</v>
      </c>
      <c r="G13" s="2" t="s">
        <v>46</v>
      </c>
      <c r="H13" s="20">
        <v>5</v>
      </c>
      <c r="I13" s="13">
        <v>149.99</v>
      </c>
      <c r="J13" s="2" t="s">
        <v>57</v>
      </c>
      <c r="K13" s="2" t="s">
        <v>40</v>
      </c>
      <c r="L13" s="2" t="s">
        <v>22</v>
      </c>
      <c r="M13" s="3">
        <v>44830</v>
      </c>
      <c r="N13" s="17">
        <v>749.95</v>
      </c>
      <c r="O13" s="27">
        <f t="shared" ca="1" si="1"/>
        <v>46324.554708333337</v>
      </c>
      <c r="P13" s="28" t="str">
        <f t="shared" si="0"/>
        <v>Medium</v>
      </c>
    </row>
    <row r="14" spans="1:16" ht="15" thickBot="1">
      <c r="A14" s="5" t="s">
        <v>71</v>
      </c>
      <c r="B14" s="3">
        <v>45408</v>
      </c>
      <c r="C14" s="2" t="s">
        <v>72</v>
      </c>
      <c r="D14" s="2" t="s">
        <v>73</v>
      </c>
      <c r="E14" s="2" t="s">
        <v>44</v>
      </c>
      <c r="F14" s="2" t="s">
        <v>45</v>
      </c>
      <c r="G14" s="2" t="s">
        <v>46</v>
      </c>
      <c r="H14" s="20">
        <v>3</v>
      </c>
      <c r="I14" s="13">
        <v>149.99</v>
      </c>
      <c r="J14" s="2" t="s">
        <v>20</v>
      </c>
      <c r="K14" s="2" t="s">
        <v>40</v>
      </c>
      <c r="L14" s="2" t="s">
        <v>27</v>
      </c>
      <c r="M14" s="3">
        <v>44806</v>
      </c>
      <c r="N14" s="17">
        <v>449.97</v>
      </c>
      <c r="O14" s="27">
        <f t="shared" ca="1" si="1"/>
        <v>46324.554708333337</v>
      </c>
      <c r="P14" s="28" t="str">
        <f t="shared" si="0"/>
        <v>Low</v>
      </c>
    </row>
    <row r="15" spans="1:16" ht="15" thickBot="1">
      <c r="A15" s="5" t="s">
        <v>74</v>
      </c>
      <c r="B15" s="3">
        <v>45409</v>
      </c>
      <c r="C15" s="2" t="s">
        <v>75</v>
      </c>
      <c r="D15" s="2" t="s">
        <v>76</v>
      </c>
      <c r="E15" s="2" t="s">
        <v>31</v>
      </c>
      <c r="F15" s="2" t="s">
        <v>32</v>
      </c>
      <c r="G15" s="2" t="s">
        <v>33</v>
      </c>
      <c r="H15" s="20">
        <v>3</v>
      </c>
      <c r="I15" s="13">
        <v>59.99</v>
      </c>
      <c r="J15" s="2" t="s">
        <v>26</v>
      </c>
      <c r="K15" s="2" t="s">
        <v>40</v>
      </c>
      <c r="L15" s="2" t="s">
        <v>36</v>
      </c>
      <c r="M15" s="3">
        <v>45351</v>
      </c>
      <c r="N15" s="17">
        <v>179.97</v>
      </c>
      <c r="O15" s="27">
        <f t="shared" ca="1" si="1"/>
        <v>46324.554708333337</v>
      </c>
      <c r="P15" s="28" t="str">
        <f t="shared" si="0"/>
        <v>Low</v>
      </c>
    </row>
    <row r="16" spans="1:16" ht="15" thickBot="1">
      <c r="A16" s="5" t="s">
        <v>77</v>
      </c>
      <c r="B16" s="3">
        <v>45409</v>
      </c>
      <c r="C16" s="2" t="s">
        <v>78</v>
      </c>
      <c r="D16" s="2" t="s">
        <v>79</v>
      </c>
      <c r="E16" s="2" t="s">
        <v>80</v>
      </c>
      <c r="F16" s="2" t="s">
        <v>81</v>
      </c>
      <c r="G16" s="2" t="s">
        <v>19</v>
      </c>
      <c r="H16" s="20">
        <v>3</v>
      </c>
      <c r="I16" s="13">
        <v>699.99</v>
      </c>
      <c r="J16" s="2" t="s">
        <v>26</v>
      </c>
      <c r="K16" s="2" t="s">
        <v>50</v>
      </c>
      <c r="L16" s="2" t="s">
        <v>22</v>
      </c>
      <c r="M16" s="3">
        <v>44577</v>
      </c>
      <c r="N16" s="17">
        <v>2099.9699999999998</v>
      </c>
      <c r="O16" s="27">
        <f t="shared" ca="1" si="1"/>
        <v>46324.554708333337</v>
      </c>
      <c r="P16" s="28" t="str">
        <f t="shared" si="0"/>
        <v>High</v>
      </c>
    </row>
    <row r="17" spans="1:16" ht="15" thickBot="1">
      <c r="A17" s="5" t="s">
        <v>82</v>
      </c>
      <c r="B17" s="3">
        <v>45409</v>
      </c>
      <c r="C17" s="2" t="s">
        <v>83</v>
      </c>
      <c r="D17" s="2" t="s">
        <v>84</v>
      </c>
      <c r="E17" s="2" t="s">
        <v>61</v>
      </c>
      <c r="F17" s="2" t="s">
        <v>62</v>
      </c>
      <c r="G17" s="2" t="s">
        <v>19</v>
      </c>
      <c r="H17" s="20">
        <v>1</v>
      </c>
      <c r="I17" s="13">
        <v>899.99</v>
      </c>
      <c r="J17" s="2" t="s">
        <v>57</v>
      </c>
      <c r="K17" s="2" t="s">
        <v>40</v>
      </c>
      <c r="L17" s="2" t="s">
        <v>36</v>
      </c>
      <c r="M17" s="3">
        <v>44920</v>
      </c>
      <c r="N17" s="17">
        <v>899.99</v>
      </c>
      <c r="O17" s="27">
        <f t="shared" ca="1" si="1"/>
        <v>46324.554708333337</v>
      </c>
      <c r="P17" s="28" t="str">
        <f t="shared" si="0"/>
        <v>Medium</v>
      </c>
    </row>
    <row r="18" spans="1:16" ht="15" thickBot="1">
      <c r="A18" s="5" t="s">
        <v>85</v>
      </c>
      <c r="B18" s="3">
        <v>45410</v>
      </c>
      <c r="C18" s="2" t="s">
        <v>86</v>
      </c>
      <c r="D18" s="2" t="s">
        <v>87</v>
      </c>
      <c r="E18" s="2" t="s">
        <v>44</v>
      </c>
      <c r="F18" s="2" t="s">
        <v>45</v>
      </c>
      <c r="G18" s="2" t="s">
        <v>46</v>
      </c>
      <c r="H18" s="20">
        <v>4</v>
      </c>
      <c r="I18" s="13">
        <v>149.99</v>
      </c>
      <c r="J18" s="2" t="s">
        <v>57</v>
      </c>
      <c r="K18" s="2" t="s">
        <v>40</v>
      </c>
      <c r="L18" s="2" t="s">
        <v>27</v>
      </c>
      <c r="M18" s="3">
        <v>45374</v>
      </c>
      <c r="N18" s="17">
        <v>599.96</v>
      </c>
      <c r="O18" s="27">
        <f t="shared" ca="1" si="1"/>
        <v>46324.554708333337</v>
      </c>
      <c r="P18" s="28" t="str">
        <f t="shared" si="0"/>
        <v>Medium</v>
      </c>
    </row>
    <row r="19" spans="1:16" ht="15" thickBot="1">
      <c r="A19" s="5" t="s">
        <v>88</v>
      </c>
      <c r="B19" s="3">
        <v>45410</v>
      </c>
      <c r="C19" s="2" t="s">
        <v>89</v>
      </c>
      <c r="D19" s="2" t="s">
        <v>90</v>
      </c>
      <c r="E19" s="2" t="s">
        <v>80</v>
      </c>
      <c r="F19" s="2" t="s">
        <v>81</v>
      </c>
      <c r="G19" s="2" t="s">
        <v>19</v>
      </c>
      <c r="H19" s="20">
        <v>2</v>
      </c>
      <c r="I19" s="13">
        <v>699.99</v>
      </c>
      <c r="J19" s="2" t="s">
        <v>20</v>
      </c>
      <c r="K19" s="2" t="s">
        <v>40</v>
      </c>
      <c r="L19" s="2" t="s">
        <v>22</v>
      </c>
      <c r="M19" s="3">
        <v>44781</v>
      </c>
      <c r="N19" s="17">
        <v>1399.98</v>
      </c>
      <c r="O19" s="27">
        <f t="shared" ca="1" si="1"/>
        <v>46324.554708333337</v>
      </c>
      <c r="P19" s="28" t="str">
        <f t="shared" si="0"/>
        <v>High</v>
      </c>
    </row>
    <row r="20" spans="1:16" ht="15" thickBot="1">
      <c r="A20" s="5" t="s">
        <v>91</v>
      </c>
      <c r="B20" s="3">
        <v>45410</v>
      </c>
      <c r="C20" s="2" t="s">
        <v>86</v>
      </c>
      <c r="D20" s="2" t="s">
        <v>87</v>
      </c>
      <c r="E20" s="2" t="s">
        <v>61</v>
      </c>
      <c r="F20" s="2" t="s">
        <v>62</v>
      </c>
      <c r="G20" s="2" t="s">
        <v>19</v>
      </c>
      <c r="H20" s="20">
        <v>4</v>
      </c>
      <c r="I20" s="13">
        <v>899.99</v>
      </c>
      <c r="J20" s="2" t="s">
        <v>26</v>
      </c>
      <c r="K20" s="2" t="s">
        <v>50</v>
      </c>
      <c r="L20" s="2" t="s">
        <v>36</v>
      </c>
      <c r="M20" s="3">
        <v>45327</v>
      </c>
      <c r="N20" s="17">
        <v>3599.96</v>
      </c>
      <c r="O20" s="27">
        <f t="shared" ca="1" si="1"/>
        <v>46324.554708333337</v>
      </c>
      <c r="P20" s="28" t="str">
        <f t="shared" si="0"/>
        <v>High</v>
      </c>
    </row>
    <row r="21" spans="1:16" ht="15" thickBot="1">
      <c r="A21" s="5" t="s">
        <v>92</v>
      </c>
      <c r="B21" s="3">
        <v>45410</v>
      </c>
      <c r="C21" s="2" t="s">
        <v>93</v>
      </c>
      <c r="D21" s="2" t="s">
        <v>94</v>
      </c>
      <c r="E21" s="2" t="s">
        <v>17</v>
      </c>
      <c r="F21" s="2" t="s">
        <v>18</v>
      </c>
      <c r="G21" s="2" t="s">
        <v>19</v>
      </c>
      <c r="H21" s="20">
        <v>3</v>
      </c>
      <c r="I21" s="13">
        <v>249.99</v>
      </c>
      <c r="J21" s="2" t="s">
        <v>26</v>
      </c>
      <c r="K21" s="2" t="s">
        <v>40</v>
      </c>
      <c r="L21" s="2" t="s">
        <v>27</v>
      </c>
      <c r="M21" s="3">
        <v>45224</v>
      </c>
      <c r="N21" s="17">
        <v>749.97</v>
      </c>
      <c r="O21" s="27">
        <f t="shared" ca="1" si="1"/>
        <v>46324.554708333337</v>
      </c>
      <c r="P21" s="28" t="str">
        <f t="shared" si="0"/>
        <v>Medium</v>
      </c>
    </row>
    <row r="22" spans="1:16" ht="15" thickBot="1">
      <c r="A22" s="5" t="s">
        <v>95</v>
      </c>
      <c r="B22" s="3">
        <v>45412</v>
      </c>
      <c r="C22" s="2" t="s">
        <v>96</v>
      </c>
      <c r="D22" s="2" t="s">
        <v>97</v>
      </c>
      <c r="E22" s="2" t="s">
        <v>80</v>
      </c>
      <c r="F22" s="2" t="s">
        <v>81</v>
      </c>
      <c r="G22" s="2" t="s">
        <v>19</v>
      </c>
      <c r="H22" s="20">
        <v>5</v>
      </c>
      <c r="I22" s="13">
        <v>699.99</v>
      </c>
      <c r="J22" s="2" t="s">
        <v>20</v>
      </c>
      <c r="K22" s="2" t="s">
        <v>50</v>
      </c>
      <c r="L22" s="2" t="s">
        <v>22</v>
      </c>
      <c r="M22" s="3">
        <v>45167</v>
      </c>
      <c r="N22" s="17">
        <v>3499.95</v>
      </c>
      <c r="O22" s="27">
        <f t="shared" ca="1" si="1"/>
        <v>46324.554708333337</v>
      </c>
      <c r="P22" s="28" t="str">
        <f t="shared" si="0"/>
        <v>High</v>
      </c>
    </row>
    <row r="23" spans="1:16" ht="15" thickBot="1">
      <c r="A23" s="5" t="s">
        <v>98</v>
      </c>
      <c r="B23" s="3">
        <v>45413</v>
      </c>
      <c r="C23" s="2" t="s">
        <v>99</v>
      </c>
      <c r="D23" s="2" t="s">
        <v>100</v>
      </c>
      <c r="E23" s="2" t="s">
        <v>80</v>
      </c>
      <c r="F23" s="2" t="s">
        <v>81</v>
      </c>
      <c r="G23" s="2" t="s">
        <v>19</v>
      </c>
      <c r="H23" s="20">
        <v>4</v>
      </c>
      <c r="I23" s="13">
        <v>699.99</v>
      </c>
      <c r="J23" s="2" t="s">
        <v>20</v>
      </c>
      <c r="K23" s="2" t="s">
        <v>63</v>
      </c>
      <c r="L23" s="2" t="s">
        <v>36</v>
      </c>
      <c r="M23" s="3">
        <v>44409</v>
      </c>
      <c r="N23" s="17">
        <v>2799.96</v>
      </c>
      <c r="O23" s="27">
        <f t="shared" ca="1" si="1"/>
        <v>46324.554708333337</v>
      </c>
      <c r="P23" s="28" t="str">
        <f t="shared" si="0"/>
        <v>High</v>
      </c>
    </row>
    <row r="24" spans="1:16" ht="15" thickBot="1">
      <c r="A24" s="5" t="s">
        <v>101</v>
      </c>
      <c r="B24" s="3">
        <v>45415</v>
      </c>
      <c r="C24" s="2" t="s">
        <v>102</v>
      </c>
      <c r="D24" s="2" t="s">
        <v>103</v>
      </c>
      <c r="E24" s="2" t="s">
        <v>17</v>
      </c>
      <c r="F24" s="2" t="s">
        <v>18</v>
      </c>
      <c r="G24" s="2" t="s">
        <v>19</v>
      </c>
      <c r="H24" s="20">
        <v>4</v>
      </c>
      <c r="I24" s="13">
        <v>249.99</v>
      </c>
      <c r="J24" s="2" t="s">
        <v>34</v>
      </c>
      <c r="K24" s="2" t="s">
        <v>40</v>
      </c>
      <c r="L24" s="2" t="s">
        <v>36</v>
      </c>
      <c r="M24" s="3">
        <v>44468</v>
      </c>
      <c r="N24" s="17">
        <v>999.96</v>
      </c>
      <c r="O24" s="27">
        <f t="shared" ca="1" si="1"/>
        <v>46324.554708333337</v>
      </c>
      <c r="P24" s="28" t="str">
        <f t="shared" si="0"/>
        <v>Medium</v>
      </c>
    </row>
    <row r="25" spans="1:16" ht="15" thickBot="1">
      <c r="A25" s="5" t="s">
        <v>104</v>
      </c>
      <c r="B25" s="3">
        <v>45416</v>
      </c>
      <c r="C25" s="2" t="s">
        <v>86</v>
      </c>
      <c r="D25" s="2" t="s">
        <v>87</v>
      </c>
      <c r="E25" s="2" t="s">
        <v>105</v>
      </c>
      <c r="F25" s="2" t="s">
        <v>106</v>
      </c>
      <c r="G25" s="2" t="s">
        <v>46</v>
      </c>
      <c r="H25" s="20">
        <v>4</v>
      </c>
      <c r="I25" s="13">
        <v>299.99</v>
      </c>
      <c r="J25" s="2" t="s">
        <v>20</v>
      </c>
      <c r="K25" s="2" t="s">
        <v>50</v>
      </c>
      <c r="L25" s="2" t="s">
        <v>27</v>
      </c>
      <c r="M25" s="3">
        <v>44716</v>
      </c>
      <c r="N25" s="17">
        <v>1199.96</v>
      </c>
      <c r="O25" s="27">
        <f t="shared" ca="1" si="1"/>
        <v>46324.554708333337</v>
      </c>
      <c r="P25" s="28" t="str">
        <f t="shared" si="0"/>
        <v>High</v>
      </c>
    </row>
    <row r="26" spans="1:16" ht="15" thickBot="1">
      <c r="A26" s="5" t="s">
        <v>107</v>
      </c>
      <c r="B26" s="3">
        <v>45422</v>
      </c>
      <c r="C26" s="2" t="s">
        <v>108</v>
      </c>
      <c r="D26" s="2" t="s">
        <v>109</v>
      </c>
      <c r="E26" s="2" t="s">
        <v>17</v>
      </c>
      <c r="F26" s="2" t="s">
        <v>18</v>
      </c>
      <c r="G26" s="2" t="s">
        <v>19</v>
      </c>
      <c r="H26" s="20">
        <v>5</v>
      </c>
      <c r="I26" s="13">
        <v>249.99</v>
      </c>
      <c r="J26" s="2" t="s">
        <v>26</v>
      </c>
      <c r="K26" s="2" t="s">
        <v>50</v>
      </c>
      <c r="L26" s="2" t="s">
        <v>36</v>
      </c>
      <c r="M26" s="3">
        <v>44525</v>
      </c>
      <c r="N26" s="17">
        <v>1249.95</v>
      </c>
      <c r="O26" s="27">
        <f t="shared" ca="1" si="1"/>
        <v>46324.554708333337</v>
      </c>
      <c r="P26" s="28" t="str">
        <f t="shared" si="0"/>
        <v>High</v>
      </c>
    </row>
    <row r="27" spans="1:16" ht="15" thickBot="1">
      <c r="A27" s="5" t="s">
        <v>110</v>
      </c>
      <c r="B27" s="3">
        <v>45424</v>
      </c>
      <c r="C27" s="2" t="s">
        <v>68</v>
      </c>
      <c r="D27" s="2" t="s">
        <v>69</v>
      </c>
      <c r="E27" s="2" t="s">
        <v>105</v>
      </c>
      <c r="F27" s="2" t="s">
        <v>106</v>
      </c>
      <c r="G27" s="2" t="s">
        <v>46</v>
      </c>
      <c r="H27" s="20">
        <v>5</v>
      </c>
      <c r="I27" s="13">
        <v>299.99</v>
      </c>
      <c r="J27" s="2" t="s">
        <v>34</v>
      </c>
      <c r="K27" s="2" t="s">
        <v>63</v>
      </c>
      <c r="L27" s="2" t="s">
        <v>22</v>
      </c>
      <c r="M27" s="3">
        <v>45168</v>
      </c>
      <c r="N27" s="17">
        <v>1499.95</v>
      </c>
      <c r="O27" s="27">
        <f t="shared" ca="1" si="1"/>
        <v>46324.554708333337</v>
      </c>
      <c r="P27" s="28" t="str">
        <f t="shared" si="0"/>
        <v>High</v>
      </c>
    </row>
    <row r="28" spans="1:16" ht="15" thickBot="1">
      <c r="A28" s="5" t="s">
        <v>111</v>
      </c>
      <c r="B28" s="3">
        <v>45424</v>
      </c>
      <c r="C28" s="2" t="s">
        <v>112</v>
      </c>
      <c r="D28" s="2" t="s">
        <v>113</v>
      </c>
      <c r="E28" s="2" t="s">
        <v>114</v>
      </c>
      <c r="F28" s="2" t="s">
        <v>115</v>
      </c>
      <c r="G28" s="2" t="s">
        <v>33</v>
      </c>
      <c r="H28" s="20">
        <v>3</v>
      </c>
      <c r="I28" s="13">
        <v>79.989999999999995</v>
      </c>
      <c r="J28" s="2" t="s">
        <v>34</v>
      </c>
      <c r="K28" s="2" t="s">
        <v>63</v>
      </c>
      <c r="L28" s="2" t="s">
        <v>27</v>
      </c>
      <c r="M28" s="3">
        <v>45012</v>
      </c>
      <c r="N28" s="17">
        <v>239.97</v>
      </c>
      <c r="O28" s="27">
        <f t="shared" ca="1" si="1"/>
        <v>46324.554708333337</v>
      </c>
      <c r="P28" s="28" t="str">
        <f t="shared" si="0"/>
        <v>Low</v>
      </c>
    </row>
    <row r="29" spans="1:16" ht="15" thickBot="1">
      <c r="A29" s="5" t="s">
        <v>116</v>
      </c>
      <c r="B29" s="3">
        <v>45424</v>
      </c>
      <c r="C29" s="2" t="s">
        <v>99</v>
      </c>
      <c r="D29" s="2" t="s">
        <v>100</v>
      </c>
      <c r="E29" s="2" t="s">
        <v>117</v>
      </c>
      <c r="F29" s="2" t="s">
        <v>118</v>
      </c>
      <c r="G29" s="2" t="s">
        <v>19</v>
      </c>
      <c r="H29" s="20">
        <v>5</v>
      </c>
      <c r="I29" s="13">
        <v>89.99</v>
      </c>
      <c r="J29" s="2" t="s">
        <v>20</v>
      </c>
      <c r="K29" s="2" t="s">
        <v>40</v>
      </c>
      <c r="L29" s="2" t="s">
        <v>27</v>
      </c>
      <c r="M29" s="3">
        <v>44919</v>
      </c>
      <c r="N29" s="17">
        <v>449.95</v>
      </c>
      <c r="O29" s="27">
        <f t="shared" ca="1" si="1"/>
        <v>46324.554708333337</v>
      </c>
      <c r="P29" s="28" t="str">
        <f t="shared" si="0"/>
        <v>Low</v>
      </c>
    </row>
    <row r="30" spans="1:16" ht="15" thickBot="1">
      <c r="A30" s="5" t="s">
        <v>119</v>
      </c>
      <c r="B30" s="3">
        <v>45425</v>
      </c>
      <c r="C30" s="2" t="s">
        <v>120</v>
      </c>
      <c r="D30" s="2" t="s">
        <v>121</v>
      </c>
      <c r="E30" s="2" t="s">
        <v>31</v>
      </c>
      <c r="F30" s="2" t="s">
        <v>32</v>
      </c>
      <c r="G30" s="2" t="s">
        <v>33</v>
      </c>
      <c r="H30" s="20">
        <v>2</v>
      </c>
      <c r="I30" s="13">
        <v>59.99</v>
      </c>
      <c r="J30" s="2" t="s">
        <v>57</v>
      </c>
      <c r="K30" s="2" t="s">
        <v>21</v>
      </c>
      <c r="L30" s="2" t="s">
        <v>36</v>
      </c>
      <c r="M30" s="3">
        <v>45214</v>
      </c>
      <c r="N30" s="17">
        <v>119.98</v>
      </c>
      <c r="O30" s="27">
        <f t="shared" ca="1" si="1"/>
        <v>46324.554708333337</v>
      </c>
      <c r="P30" s="28" t="str">
        <f t="shared" si="0"/>
        <v>Low</v>
      </c>
    </row>
    <row r="31" spans="1:16" ht="15" thickBot="1">
      <c r="A31" s="5" t="s">
        <v>122</v>
      </c>
      <c r="B31" s="3">
        <v>45427</v>
      </c>
      <c r="C31" s="2" t="s">
        <v>123</v>
      </c>
      <c r="D31" s="2" t="s">
        <v>124</v>
      </c>
      <c r="E31" s="2" t="s">
        <v>31</v>
      </c>
      <c r="F31" s="2" t="s">
        <v>32</v>
      </c>
      <c r="G31" s="2" t="s">
        <v>33</v>
      </c>
      <c r="H31" s="20">
        <v>4</v>
      </c>
      <c r="I31" s="13">
        <v>59.99</v>
      </c>
      <c r="J31" s="2" t="s">
        <v>57</v>
      </c>
      <c r="K31" s="2" t="s">
        <v>63</v>
      </c>
      <c r="L31" s="2" t="s">
        <v>36</v>
      </c>
      <c r="M31" s="3">
        <v>44867</v>
      </c>
      <c r="N31" s="17">
        <v>239.96</v>
      </c>
      <c r="O31" s="27">
        <f t="shared" ca="1" si="1"/>
        <v>46324.554708333337</v>
      </c>
      <c r="P31" s="28" t="str">
        <f t="shared" si="0"/>
        <v>Low</v>
      </c>
    </row>
    <row r="32" spans="1:16" ht="15" thickBot="1">
      <c r="A32" s="5" t="s">
        <v>125</v>
      </c>
      <c r="B32" s="3">
        <v>45427</v>
      </c>
      <c r="C32" s="2" t="s">
        <v>55</v>
      </c>
      <c r="D32" s="2" t="s">
        <v>56</v>
      </c>
      <c r="E32" s="2" t="s">
        <v>126</v>
      </c>
      <c r="F32" s="2" t="s">
        <v>127</v>
      </c>
      <c r="G32" s="2" t="s">
        <v>46</v>
      </c>
      <c r="H32" s="20">
        <v>5</v>
      </c>
      <c r="I32" s="13">
        <v>199.99</v>
      </c>
      <c r="J32" s="2" t="s">
        <v>20</v>
      </c>
      <c r="K32" s="2" t="s">
        <v>35</v>
      </c>
      <c r="L32" s="2" t="s">
        <v>36</v>
      </c>
      <c r="M32" s="3">
        <v>44412</v>
      </c>
      <c r="N32" s="17">
        <v>999.95</v>
      </c>
      <c r="O32" s="27">
        <f t="shared" ca="1" si="1"/>
        <v>46324.554708333337</v>
      </c>
      <c r="P32" s="28" t="str">
        <f t="shared" si="0"/>
        <v>Medium</v>
      </c>
    </row>
    <row r="33" spans="1:16" ht="15" thickBot="1">
      <c r="A33" s="5" t="s">
        <v>128</v>
      </c>
      <c r="B33" s="3">
        <v>45428</v>
      </c>
      <c r="C33" s="2" t="s">
        <v>129</v>
      </c>
      <c r="D33" s="2" t="s">
        <v>130</v>
      </c>
      <c r="E33" s="2" t="s">
        <v>44</v>
      </c>
      <c r="F33" s="2" t="s">
        <v>45</v>
      </c>
      <c r="G33" s="2" t="s">
        <v>46</v>
      </c>
      <c r="H33" s="20">
        <v>2</v>
      </c>
      <c r="I33" s="13">
        <v>149.99</v>
      </c>
      <c r="J33" s="2" t="s">
        <v>26</v>
      </c>
      <c r="K33" s="2" t="s">
        <v>50</v>
      </c>
      <c r="L33" s="2" t="s">
        <v>22</v>
      </c>
      <c r="M33" s="3">
        <v>44823</v>
      </c>
      <c r="N33" s="17">
        <v>299.98</v>
      </c>
      <c r="O33" s="27">
        <f t="shared" ca="1" si="1"/>
        <v>46324.554708333337</v>
      </c>
      <c r="P33" s="28" t="str">
        <f t="shared" si="0"/>
        <v>Low</v>
      </c>
    </row>
    <row r="34" spans="1:16" ht="15" thickBot="1">
      <c r="A34" s="5" t="s">
        <v>131</v>
      </c>
      <c r="B34" s="3">
        <v>45430</v>
      </c>
      <c r="C34" s="2" t="s">
        <v>132</v>
      </c>
      <c r="D34" s="2" t="s">
        <v>133</v>
      </c>
      <c r="E34" s="2" t="s">
        <v>44</v>
      </c>
      <c r="F34" s="2" t="s">
        <v>45</v>
      </c>
      <c r="G34" s="2" t="s">
        <v>46</v>
      </c>
      <c r="H34" s="20">
        <v>3</v>
      </c>
      <c r="I34" s="13">
        <v>149.99</v>
      </c>
      <c r="J34" s="2" t="s">
        <v>26</v>
      </c>
      <c r="K34" s="2" t="s">
        <v>50</v>
      </c>
      <c r="L34" s="2" t="s">
        <v>27</v>
      </c>
      <c r="M34" s="3">
        <v>45068</v>
      </c>
      <c r="N34" s="17">
        <v>449.97</v>
      </c>
      <c r="O34" s="27">
        <f t="shared" ca="1" si="1"/>
        <v>46324.554708333337</v>
      </c>
      <c r="P34" s="28" t="str">
        <f t="shared" si="0"/>
        <v>Low</v>
      </c>
    </row>
    <row r="35" spans="1:16" ht="15" thickBot="1">
      <c r="A35" s="5" t="s">
        <v>134</v>
      </c>
      <c r="B35" s="3">
        <v>45432</v>
      </c>
      <c r="C35" s="2" t="s">
        <v>29</v>
      </c>
      <c r="D35" s="2" t="s">
        <v>30</v>
      </c>
      <c r="E35" s="2" t="s">
        <v>61</v>
      </c>
      <c r="F35" s="2" t="s">
        <v>62</v>
      </c>
      <c r="G35" s="2" t="s">
        <v>19</v>
      </c>
      <c r="H35" s="20">
        <v>1</v>
      </c>
      <c r="I35" s="13">
        <v>899.99</v>
      </c>
      <c r="J35" s="2" t="s">
        <v>26</v>
      </c>
      <c r="K35" s="2" t="s">
        <v>50</v>
      </c>
      <c r="L35" s="2" t="s">
        <v>27</v>
      </c>
      <c r="M35" s="3">
        <v>44578</v>
      </c>
      <c r="N35" s="17">
        <v>899.99</v>
      </c>
      <c r="O35" s="27">
        <f t="shared" ca="1" si="1"/>
        <v>46324.554708333337</v>
      </c>
      <c r="P35" s="28" t="str">
        <f t="shared" si="0"/>
        <v>Medium</v>
      </c>
    </row>
    <row r="36" spans="1:16" ht="15" thickBot="1">
      <c r="A36" s="5" t="s">
        <v>135</v>
      </c>
      <c r="B36" s="3">
        <v>45434</v>
      </c>
      <c r="C36" s="2" t="s">
        <v>99</v>
      </c>
      <c r="D36" s="2" t="s">
        <v>100</v>
      </c>
      <c r="E36" s="2" t="s">
        <v>105</v>
      </c>
      <c r="F36" s="2" t="s">
        <v>106</v>
      </c>
      <c r="G36" s="2" t="s">
        <v>46</v>
      </c>
      <c r="H36" s="20">
        <v>3</v>
      </c>
      <c r="I36" s="13">
        <v>299.99</v>
      </c>
      <c r="J36" s="2" t="s">
        <v>26</v>
      </c>
      <c r="K36" s="2" t="s">
        <v>63</v>
      </c>
      <c r="L36" s="2" t="s">
        <v>22</v>
      </c>
      <c r="M36" s="3">
        <v>44824</v>
      </c>
      <c r="N36" s="17">
        <v>899.97</v>
      </c>
      <c r="O36" s="27">
        <f t="shared" ca="1" si="1"/>
        <v>46324.554708333337</v>
      </c>
      <c r="P36" s="28" t="str">
        <f t="shared" si="0"/>
        <v>Medium</v>
      </c>
    </row>
    <row r="37" spans="1:16" ht="15" thickBot="1">
      <c r="A37" s="5" t="s">
        <v>136</v>
      </c>
      <c r="B37" s="3">
        <v>45435</v>
      </c>
      <c r="C37" s="2" t="s">
        <v>129</v>
      </c>
      <c r="D37" s="2" t="s">
        <v>130</v>
      </c>
      <c r="E37" s="2" t="s">
        <v>114</v>
      </c>
      <c r="F37" s="2" t="s">
        <v>115</v>
      </c>
      <c r="G37" s="2" t="s">
        <v>33</v>
      </c>
      <c r="H37" s="20">
        <v>3</v>
      </c>
      <c r="I37" s="13">
        <v>79.989999999999995</v>
      </c>
      <c r="J37" s="2" t="s">
        <v>20</v>
      </c>
      <c r="K37" s="2" t="s">
        <v>35</v>
      </c>
      <c r="L37" s="2" t="s">
        <v>22</v>
      </c>
      <c r="M37" s="3">
        <v>45046</v>
      </c>
      <c r="N37" s="17">
        <v>239.97</v>
      </c>
      <c r="O37" s="27">
        <f t="shared" ca="1" si="1"/>
        <v>46324.554708333337</v>
      </c>
      <c r="P37" s="28" t="str">
        <f t="shared" si="0"/>
        <v>Low</v>
      </c>
    </row>
    <row r="38" spans="1:16" ht="15" thickBot="1">
      <c r="A38" s="5" t="s">
        <v>137</v>
      </c>
      <c r="B38" s="3">
        <v>45438</v>
      </c>
      <c r="C38" s="2" t="s">
        <v>138</v>
      </c>
      <c r="D38" s="2" t="s">
        <v>139</v>
      </c>
      <c r="E38" s="2" t="s">
        <v>126</v>
      </c>
      <c r="F38" s="2" t="s">
        <v>127</v>
      </c>
      <c r="G38" s="2" t="s">
        <v>46</v>
      </c>
      <c r="H38" s="20">
        <v>3</v>
      </c>
      <c r="I38" s="13">
        <v>199.99</v>
      </c>
      <c r="J38" s="2" t="s">
        <v>26</v>
      </c>
      <c r="K38" s="2" t="s">
        <v>40</v>
      </c>
      <c r="L38" s="2" t="s">
        <v>27</v>
      </c>
      <c r="M38" s="3">
        <v>45292</v>
      </c>
      <c r="N38" s="17">
        <v>599.97</v>
      </c>
      <c r="O38" s="27">
        <f t="shared" ca="1" si="1"/>
        <v>46324.554708333337</v>
      </c>
      <c r="P38" s="28" t="str">
        <f t="shared" si="0"/>
        <v>Medium</v>
      </c>
    </row>
    <row r="39" spans="1:16" ht="15" thickBot="1">
      <c r="A39" s="5" t="s">
        <v>140</v>
      </c>
      <c r="B39" s="3">
        <v>45440</v>
      </c>
      <c r="C39" s="2" t="s">
        <v>141</v>
      </c>
      <c r="D39" s="2" t="s">
        <v>142</v>
      </c>
      <c r="E39" s="2" t="s">
        <v>80</v>
      </c>
      <c r="F39" s="2" t="s">
        <v>81</v>
      </c>
      <c r="G39" s="2" t="s">
        <v>19</v>
      </c>
      <c r="H39" s="20">
        <v>5</v>
      </c>
      <c r="I39" s="13">
        <v>699.99</v>
      </c>
      <c r="J39" s="2" t="s">
        <v>34</v>
      </c>
      <c r="K39" s="2" t="s">
        <v>50</v>
      </c>
      <c r="L39" s="2" t="s">
        <v>36</v>
      </c>
      <c r="M39" s="3">
        <v>44407</v>
      </c>
      <c r="N39" s="17">
        <v>3499.95</v>
      </c>
      <c r="O39" s="27">
        <f t="shared" ca="1" si="1"/>
        <v>46324.554708333337</v>
      </c>
      <c r="P39" s="28" t="str">
        <f t="shared" si="0"/>
        <v>High</v>
      </c>
    </row>
    <row r="40" spans="1:16" ht="15" thickBot="1">
      <c r="A40" s="5" t="s">
        <v>143</v>
      </c>
      <c r="B40" s="3">
        <v>45441</v>
      </c>
      <c r="C40" s="2" t="s">
        <v>144</v>
      </c>
      <c r="D40" s="2" t="s">
        <v>145</v>
      </c>
      <c r="E40" s="2" t="s">
        <v>117</v>
      </c>
      <c r="F40" s="2" t="s">
        <v>118</v>
      </c>
      <c r="G40" s="2" t="s">
        <v>19</v>
      </c>
      <c r="H40" s="20">
        <v>3</v>
      </c>
      <c r="I40" s="13">
        <v>89.99</v>
      </c>
      <c r="J40" s="2" t="s">
        <v>34</v>
      </c>
      <c r="K40" s="2" t="s">
        <v>21</v>
      </c>
      <c r="L40" s="2" t="s">
        <v>27</v>
      </c>
      <c r="M40" s="3">
        <v>45120</v>
      </c>
      <c r="N40" s="17">
        <v>269.97000000000003</v>
      </c>
      <c r="O40" s="27">
        <f t="shared" ca="1" si="1"/>
        <v>46324.554708333337</v>
      </c>
      <c r="P40" s="28" t="str">
        <f t="shared" si="0"/>
        <v>Low</v>
      </c>
    </row>
    <row r="41" spans="1:16" ht="15" thickBot="1">
      <c r="A41" s="5" t="s">
        <v>146</v>
      </c>
      <c r="B41" s="3">
        <v>45443</v>
      </c>
      <c r="C41" s="2" t="s">
        <v>147</v>
      </c>
      <c r="D41" s="2" t="s">
        <v>148</v>
      </c>
      <c r="E41" s="2" t="s">
        <v>114</v>
      </c>
      <c r="F41" s="2" t="s">
        <v>115</v>
      </c>
      <c r="G41" s="2" t="s">
        <v>33</v>
      </c>
      <c r="H41" s="20">
        <v>1</v>
      </c>
      <c r="I41" s="13">
        <v>79.989999999999995</v>
      </c>
      <c r="J41" s="2" t="s">
        <v>20</v>
      </c>
      <c r="K41" s="2" t="s">
        <v>40</v>
      </c>
      <c r="L41" s="2" t="s">
        <v>36</v>
      </c>
      <c r="M41" s="3">
        <v>44917</v>
      </c>
      <c r="N41" s="17">
        <v>79.989999999999995</v>
      </c>
      <c r="O41" s="27">
        <f t="shared" ca="1" si="1"/>
        <v>46324.554708333337</v>
      </c>
      <c r="P41" s="28" t="str">
        <f t="shared" si="0"/>
        <v>Low</v>
      </c>
    </row>
    <row r="42" spans="1:16" ht="15" thickBot="1">
      <c r="A42" s="5" t="s">
        <v>149</v>
      </c>
      <c r="B42" s="3">
        <v>45444</v>
      </c>
      <c r="C42" s="2" t="s">
        <v>150</v>
      </c>
      <c r="D42" s="2" t="s">
        <v>151</v>
      </c>
      <c r="E42" s="2" t="s">
        <v>31</v>
      </c>
      <c r="F42" s="2" t="s">
        <v>32</v>
      </c>
      <c r="G42" s="2" t="s">
        <v>33</v>
      </c>
      <c r="H42" s="20">
        <v>2</v>
      </c>
      <c r="I42" s="13">
        <v>59.99</v>
      </c>
      <c r="J42" s="2" t="s">
        <v>20</v>
      </c>
      <c r="K42" s="2" t="s">
        <v>50</v>
      </c>
      <c r="L42" s="2" t="s">
        <v>22</v>
      </c>
      <c r="M42" s="3">
        <v>45390</v>
      </c>
      <c r="N42" s="17">
        <v>119.98</v>
      </c>
      <c r="O42" s="27">
        <f t="shared" ca="1" si="1"/>
        <v>46324.554708333337</v>
      </c>
      <c r="P42" s="28" t="str">
        <f t="shared" si="0"/>
        <v>Low</v>
      </c>
    </row>
    <row r="43" spans="1:16" ht="15" thickBot="1">
      <c r="A43" s="5" t="s">
        <v>152</v>
      </c>
      <c r="B43" s="3">
        <v>45444</v>
      </c>
      <c r="C43" s="2" t="s">
        <v>55</v>
      </c>
      <c r="D43" s="2" t="s">
        <v>56</v>
      </c>
      <c r="E43" s="2" t="s">
        <v>117</v>
      </c>
      <c r="F43" s="2" t="s">
        <v>118</v>
      </c>
      <c r="G43" s="2" t="s">
        <v>19</v>
      </c>
      <c r="H43" s="20">
        <v>1</v>
      </c>
      <c r="I43" s="13">
        <v>89.99</v>
      </c>
      <c r="J43" s="2" t="s">
        <v>20</v>
      </c>
      <c r="K43" s="2" t="s">
        <v>40</v>
      </c>
      <c r="L43" s="2" t="s">
        <v>22</v>
      </c>
      <c r="M43" s="3">
        <v>45141</v>
      </c>
      <c r="N43" s="17">
        <v>89.99</v>
      </c>
      <c r="O43" s="27">
        <f t="shared" ca="1" si="1"/>
        <v>46324.554708333337</v>
      </c>
      <c r="P43" s="28" t="str">
        <f t="shared" si="0"/>
        <v>Low</v>
      </c>
    </row>
    <row r="44" spans="1:16" ht="15" thickBot="1">
      <c r="A44" s="5" t="s">
        <v>153</v>
      </c>
      <c r="B44" s="3">
        <v>45446</v>
      </c>
      <c r="C44" s="2" t="s">
        <v>154</v>
      </c>
      <c r="D44" s="2" t="s">
        <v>155</v>
      </c>
      <c r="E44" s="2" t="s">
        <v>117</v>
      </c>
      <c r="F44" s="2" t="s">
        <v>118</v>
      </c>
      <c r="G44" s="2" t="s">
        <v>19</v>
      </c>
      <c r="H44" s="20">
        <v>5</v>
      </c>
      <c r="I44" s="13">
        <v>89.99</v>
      </c>
      <c r="J44" s="2" t="s">
        <v>26</v>
      </c>
      <c r="K44" s="2" t="s">
        <v>63</v>
      </c>
      <c r="L44" s="2" t="s">
        <v>36</v>
      </c>
      <c r="M44" s="3">
        <v>44587</v>
      </c>
      <c r="N44" s="17">
        <v>449.95</v>
      </c>
      <c r="O44" s="27">
        <f t="shared" ca="1" si="1"/>
        <v>46324.554708333337</v>
      </c>
      <c r="P44" s="28" t="str">
        <f t="shared" si="0"/>
        <v>Low</v>
      </c>
    </row>
    <row r="45" spans="1:16" ht="15" thickBot="1">
      <c r="A45" s="5" t="s">
        <v>156</v>
      </c>
      <c r="B45" s="3">
        <v>45449</v>
      </c>
      <c r="C45" s="2" t="s">
        <v>24</v>
      </c>
      <c r="D45" s="2" t="s">
        <v>25</v>
      </c>
      <c r="E45" s="2" t="s">
        <v>17</v>
      </c>
      <c r="F45" s="2" t="s">
        <v>18</v>
      </c>
      <c r="G45" s="2" t="s">
        <v>19</v>
      </c>
      <c r="H45" s="20">
        <v>5</v>
      </c>
      <c r="I45" s="13">
        <v>249.99</v>
      </c>
      <c r="J45" s="2" t="s">
        <v>26</v>
      </c>
      <c r="K45" s="2" t="s">
        <v>63</v>
      </c>
      <c r="L45" s="2" t="s">
        <v>36</v>
      </c>
      <c r="M45" s="3">
        <v>44707</v>
      </c>
      <c r="N45" s="17">
        <v>1249.95</v>
      </c>
      <c r="O45" s="27">
        <f t="shared" ca="1" si="1"/>
        <v>46324.554708333337</v>
      </c>
      <c r="P45" s="28" t="str">
        <f t="shared" si="0"/>
        <v>High</v>
      </c>
    </row>
    <row r="46" spans="1:16" ht="15" thickBot="1">
      <c r="A46" s="5" t="s">
        <v>157</v>
      </c>
      <c r="B46" s="3">
        <v>45449</v>
      </c>
      <c r="C46" s="2" t="s">
        <v>158</v>
      </c>
      <c r="D46" s="2" t="s">
        <v>159</v>
      </c>
      <c r="E46" s="2" t="s">
        <v>117</v>
      </c>
      <c r="F46" s="2" t="s">
        <v>118</v>
      </c>
      <c r="G46" s="2" t="s">
        <v>19</v>
      </c>
      <c r="H46" s="20">
        <v>1</v>
      </c>
      <c r="I46" s="13">
        <v>89.99</v>
      </c>
      <c r="J46" s="2" t="s">
        <v>26</v>
      </c>
      <c r="K46" s="2" t="s">
        <v>35</v>
      </c>
      <c r="L46" s="2" t="s">
        <v>36</v>
      </c>
      <c r="M46" s="3">
        <v>44582</v>
      </c>
      <c r="N46" s="17">
        <v>89.99</v>
      </c>
      <c r="O46" s="27">
        <f t="shared" ca="1" si="1"/>
        <v>46324.554708333337</v>
      </c>
      <c r="P46" s="28" t="str">
        <f t="shared" si="0"/>
        <v>Low</v>
      </c>
    </row>
    <row r="47" spans="1:16" ht="15" thickBot="1">
      <c r="A47" s="5" t="s">
        <v>160</v>
      </c>
      <c r="B47" s="3">
        <v>45450</v>
      </c>
      <c r="C47" s="2" t="s">
        <v>42</v>
      </c>
      <c r="D47" s="2" t="s">
        <v>43</v>
      </c>
      <c r="E47" s="2" t="s">
        <v>44</v>
      </c>
      <c r="F47" s="2" t="s">
        <v>45</v>
      </c>
      <c r="G47" s="2" t="s">
        <v>46</v>
      </c>
      <c r="H47" s="20">
        <v>2</v>
      </c>
      <c r="I47" s="13">
        <v>149.99</v>
      </c>
      <c r="J47" s="2" t="s">
        <v>20</v>
      </c>
      <c r="K47" s="2" t="s">
        <v>63</v>
      </c>
      <c r="L47" s="2" t="s">
        <v>27</v>
      </c>
      <c r="M47" s="3">
        <v>44645</v>
      </c>
      <c r="N47" s="17">
        <v>299.98</v>
      </c>
      <c r="O47" s="27">
        <f t="shared" ca="1" si="1"/>
        <v>46324.554708333337</v>
      </c>
      <c r="P47" s="28" t="str">
        <f t="shared" si="0"/>
        <v>Low</v>
      </c>
    </row>
    <row r="48" spans="1:16" ht="15" thickBot="1">
      <c r="A48" s="5" t="s">
        <v>161</v>
      </c>
      <c r="B48" s="3">
        <v>45452</v>
      </c>
      <c r="C48" s="2" t="s">
        <v>162</v>
      </c>
      <c r="D48" s="2" t="s">
        <v>163</v>
      </c>
      <c r="E48" s="2" t="s">
        <v>31</v>
      </c>
      <c r="F48" s="2" t="s">
        <v>32</v>
      </c>
      <c r="G48" s="2" t="s">
        <v>33</v>
      </c>
      <c r="H48" s="20">
        <v>4</v>
      </c>
      <c r="I48" s="13">
        <v>59.99</v>
      </c>
      <c r="J48" s="2" t="s">
        <v>20</v>
      </c>
      <c r="K48" s="2" t="s">
        <v>63</v>
      </c>
      <c r="L48" s="2" t="s">
        <v>36</v>
      </c>
      <c r="M48" s="3">
        <v>44435</v>
      </c>
      <c r="N48" s="17">
        <v>239.96</v>
      </c>
      <c r="O48" s="27">
        <f t="shared" ca="1" si="1"/>
        <v>46324.554708333337</v>
      </c>
      <c r="P48" s="28" t="str">
        <f t="shared" si="0"/>
        <v>Low</v>
      </c>
    </row>
    <row r="49" spans="1:16" ht="15" thickBot="1">
      <c r="A49" s="5" t="s">
        <v>164</v>
      </c>
      <c r="B49" s="3">
        <v>45456</v>
      </c>
      <c r="C49" s="2" t="s">
        <v>129</v>
      </c>
      <c r="D49" s="2" t="s">
        <v>130</v>
      </c>
      <c r="E49" s="2" t="s">
        <v>117</v>
      </c>
      <c r="F49" s="2" t="s">
        <v>118</v>
      </c>
      <c r="G49" s="2" t="s">
        <v>19</v>
      </c>
      <c r="H49" s="20">
        <v>5</v>
      </c>
      <c r="I49" s="13">
        <v>89.99</v>
      </c>
      <c r="J49" s="2" t="s">
        <v>20</v>
      </c>
      <c r="K49" s="2" t="s">
        <v>21</v>
      </c>
      <c r="L49" s="2" t="s">
        <v>27</v>
      </c>
      <c r="M49" s="3">
        <v>44579</v>
      </c>
      <c r="N49" s="17">
        <v>449.95</v>
      </c>
      <c r="O49" s="27">
        <f t="shared" ca="1" si="1"/>
        <v>46324.554708333337</v>
      </c>
      <c r="P49" s="28" t="str">
        <f t="shared" si="0"/>
        <v>Low</v>
      </c>
    </row>
    <row r="50" spans="1:16" ht="15" thickBot="1">
      <c r="A50" s="5" t="s">
        <v>165</v>
      </c>
      <c r="B50" s="3">
        <v>45459</v>
      </c>
      <c r="C50" s="2" t="s">
        <v>99</v>
      </c>
      <c r="D50" s="2" t="s">
        <v>100</v>
      </c>
      <c r="E50" s="2" t="s">
        <v>117</v>
      </c>
      <c r="F50" s="2" t="s">
        <v>118</v>
      </c>
      <c r="G50" s="2" t="s">
        <v>19</v>
      </c>
      <c r="H50" s="20">
        <v>2</v>
      </c>
      <c r="I50" s="13">
        <v>89.99</v>
      </c>
      <c r="J50" s="2" t="s">
        <v>26</v>
      </c>
      <c r="K50" s="2" t="s">
        <v>35</v>
      </c>
      <c r="L50" s="2" t="s">
        <v>27</v>
      </c>
      <c r="M50" s="3">
        <v>44471</v>
      </c>
      <c r="N50" s="17">
        <v>179.98</v>
      </c>
      <c r="O50" s="27">
        <f t="shared" ca="1" si="1"/>
        <v>46324.554708333337</v>
      </c>
      <c r="P50" s="28" t="str">
        <f t="shared" si="0"/>
        <v>Low</v>
      </c>
    </row>
    <row r="51" spans="1:16" ht="15" thickBot="1">
      <c r="A51" s="5" t="s">
        <v>166</v>
      </c>
      <c r="B51" s="3">
        <v>45459</v>
      </c>
      <c r="C51" s="2" t="s">
        <v>15</v>
      </c>
      <c r="D51" s="2" t="s">
        <v>16</v>
      </c>
      <c r="E51" s="2" t="s">
        <v>61</v>
      </c>
      <c r="F51" s="2" t="s">
        <v>62</v>
      </c>
      <c r="G51" s="2" t="s">
        <v>19</v>
      </c>
      <c r="H51" s="20">
        <v>5</v>
      </c>
      <c r="I51" s="13">
        <v>899.99</v>
      </c>
      <c r="J51" s="2" t="s">
        <v>26</v>
      </c>
      <c r="K51" s="2" t="s">
        <v>35</v>
      </c>
      <c r="L51" s="2" t="s">
        <v>36</v>
      </c>
      <c r="M51" s="3">
        <v>44974</v>
      </c>
      <c r="N51" s="17">
        <v>4499.95</v>
      </c>
      <c r="O51" s="27">
        <f t="shared" ca="1" si="1"/>
        <v>46324.554708333337</v>
      </c>
      <c r="P51" s="28" t="str">
        <f t="shared" si="0"/>
        <v>High</v>
      </c>
    </row>
    <row r="52" spans="1:16" ht="15" thickBot="1">
      <c r="A52" s="5" t="s">
        <v>167</v>
      </c>
      <c r="B52" s="3">
        <v>45459</v>
      </c>
      <c r="C52" s="2" t="s">
        <v>123</v>
      </c>
      <c r="D52" s="2" t="s">
        <v>124</v>
      </c>
      <c r="E52" s="2" t="s">
        <v>61</v>
      </c>
      <c r="F52" s="2" t="s">
        <v>62</v>
      </c>
      <c r="G52" s="2" t="s">
        <v>19</v>
      </c>
      <c r="H52" s="20">
        <v>5</v>
      </c>
      <c r="I52" s="13">
        <v>899.99</v>
      </c>
      <c r="J52" s="2" t="s">
        <v>34</v>
      </c>
      <c r="K52" s="2" t="s">
        <v>63</v>
      </c>
      <c r="L52" s="2" t="s">
        <v>27</v>
      </c>
      <c r="M52" s="3">
        <v>45278</v>
      </c>
      <c r="N52" s="17">
        <v>4499.95</v>
      </c>
      <c r="O52" s="27">
        <f t="shared" ca="1" si="1"/>
        <v>46324.554708333337</v>
      </c>
      <c r="P52" s="28" t="str">
        <f t="shared" si="0"/>
        <v>High</v>
      </c>
    </row>
    <row r="53" spans="1:16" ht="15" thickBot="1">
      <c r="A53" s="5" t="s">
        <v>168</v>
      </c>
      <c r="B53" s="3">
        <v>45460</v>
      </c>
      <c r="C53" s="2" t="s">
        <v>158</v>
      </c>
      <c r="D53" s="2" t="s">
        <v>159</v>
      </c>
      <c r="E53" s="2" t="s">
        <v>31</v>
      </c>
      <c r="F53" s="2" t="s">
        <v>32</v>
      </c>
      <c r="G53" s="2" t="s">
        <v>33</v>
      </c>
      <c r="H53" s="20">
        <v>1</v>
      </c>
      <c r="I53" s="13">
        <v>59.99</v>
      </c>
      <c r="J53" s="2" t="s">
        <v>57</v>
      </c>
      <c r="K53" s="2" t="s">
        <v>50</v>
      </c>
      <c r="L53" s="2" t="s">
        <v>27</v>
      </c>
      <c r="M53" s="3">
        <v>45190</v>
      </c>
      <c r="N53" s="17">
        <v>59.99</v>
      </c>
      <c r="O53" s="27">
        <f t="shared" ca="1" si="1"/>
        <v>46324.554708333337</v>
      </c>
      <c r="P53" s="28" t="str">
        <f t="shared" si="0"/>
        <v>Low</v>
      </c>
    </row>
    <row r="54" spans="1:16" ht="15" thickBot="1">
      <c r="A54" s="5" t="s">
        <v>169</v>
      </c>
      <c r="B54" s="3">
        <v>45460</v>
      </c>
      <c r="C54" s="2" t="s">
        <v>141</v>
      </c>
      <c r="D54" s="2" t="s">
        <v>142</v>
      </c>
      <c r="E54" s="2" t="s">
        <v>105</v>
      </c>
      <c r="F54" s="2" t="s">
        <v>106</v>
      </c>
      <c r="G54" s="2" t="s">
        <v>46</v>
      </c>
      <c r="H54" s="20">
        <v>2</v>
      </c>
      <c r="I54" s="13">
        <v>299.99</v>
      </c>
      <c r="J54" s="2" t="s">
        <v>57</v>
      </c>
      <c r="K54" s="2" t="s">
        <v>63</v>
      </c>
      <c r="L54" s="2" t="s">
        <v>36</v>
      </c>
      <c r="M54" s="3">
        <v>45253</v>
      </c>
      <c r="N54" s="17">
        <v>599.98</v>
      </c>
      <c r="O54" s="27">
        <f t="shared" ca="1" si="1"/>
        <v>46324.554708333337</v>
      </c>
      <c r="P54" s="28" t="str">
        <f t="shared" si="0"/>
        <v>Medium</v>
      </c>
    </row>
    <row r="55" spans="1:16" ht="15" thickBot="1">
      <c r="A55" s="5" t="s">
        <v>170</v>
      </c>
      <c r="B55" s="3">
        <v>45468</v>
      </c>
      <c r="C55" s="2" t="s">
        <v>171</v>
      </c>
      <c r="D55" s="2" t="s">
        <v>172</v>
      </c>
      <c r="E55" s="2" t="s">
        <v>117</v>
      </c>
      <c r="F55" s="2" t="s">
        <v>118</v>
      </c>
      <c r="G55" s="2" t="s">
        <v>19</v>
      </c>
      <c r="H55" s="20">
        <v>4</v>
      </c>
      <c r="I55" s="13">
        <v>89.99</v>
      </c>
      <c r="J55" s="2" t="s">
        <v>57</v>
      </c>
      <c r="K55" s="2" t="s">
        <v>35</v>
      </c>
      <c r="L55" s="2" t="s">
        <v>22</v>
      </c>
      <c r="M55" s="3">
        <v>45281</v>
      </c>
      <c r="N55" s="17">
        <v>359.96</v>
      </c>
      <c r="O55" s="27">
        <f t="shared" ca="1" si="1"/>
        <v>46324.554708333337</v>
      </c>
      <c r="P55" s="28" t="str">
        <f t="shared" si="0"/>
        <v>Low</v>
      </c>
    </row>
    <row r="56" spans="1:16" ht="15" thickBot="1">
      <c r="A56" s="5" t="s">
        <v>173</v>
      </c>
      <c r="B56" s="3">
        <v>45469</v>
      </c>
      <c r="C56" s="2" t="s">
        <v>29</v>
      </c>
      <c r="D56" s="2" t="s">
        <v>30</v>
      </c>
      <c r="E56" s="2" t="s">
        <v>114</v>
      </c>
      <c r="F56" s="2" t="s">
        <v>115</v>
      </c>
      <c r="G56" s="2" t="s">
        <v>33</v>
      </c>
      <c r="H56" s="20">
        <v>1</v>
      </c>
      <c r="I56" s="13">
        <v>79.989999999999995</v>
      </c>
      <c r="J56" s="2" t="s">
        <v>34</v>
      </c>
      <c r="K56" s="2" t="s">
        <v>21</v>
      </c>
      <c r="L56" s="2" t="s">
        <v>27</v>
      </c>
      <c r="M56" s="3">
        <v>45352</v>
      </c>
      <c r="N56" s="17">
        <v>79.989999999999995</v>
      </c>
      <c r="O56" s="27">
        <f t="shared" ca="1" si="1"/>
        <v>46324.554708333337</v>
      </c>
      <c r="P56" s="28" t="str">
        <f t="shared" si="0"/>
        <v>Low</v>
      </c>
    </row>
    <row r="57" spans="1:16" ht="15" thickBot="1">
      <c r="A57" s="5" t="s">
        <v>174</v>
      </c>
      <c r="B57" s="3">
        <v>45469</v>
      </c>
      <c r="C57" s="2" t="s">
        <v>59</v>
      </c>
      <c r="D57" s="2" t="s">
        <v>60</v>
      </c>
      <c r="E57" s="2" t="s">
        <v>117</v>
      </c>
      <c r="F57" s="2" t="s">
        <v>118</v>
      </c>
      <c r="G57" s="2" t="s">
        <v>19</v>
      </c>
      <c r="H57" s="20">
        <v>2</v>
      </c>
      <c r="I57" s="13">
        <v>89.99</v>
      </c>
      <c r="J57" s="2" t="s">
        <v>20</v>
      </c>
      <c r="K57" s="2" t="s">
        <v>50</v>
      </c>
      <c r="L57" s="2" t="s">
        <v>22</v>
      </c>
      <c r="M57" s="3">
        <v>44438</v>
      </c>
      <c r="N57" s="17">
        <v>179.98</v>
      </c>
      <c r="O57" s="27">
        <f t="shared" ca="1" si="1"/>
        <v>46324.554708333337</v>
      </c>
      <c r="P57" s="28" t="str">
        <f t="shared" si="0"/>
        <v>Low</v>
      </c>
    </row>
    <row r="58" spans="1:16" ht="15" thickBot="1">
      <c r="A58" s="5" t="s">
        <v>175</v>
      </c>
      <c r="B58" s="3">
        <v>45471</v>
      </c>
      <c r="C58" s="2" t="s">
        <v>38</v>
      </c>
      <c r="D58" s="2" t="s">
        <v>39</v>
      </c>
      <c r="E58" s="2" t="s">
        <v>80</v>
      </c>
      <c r="F58" s="2" t="s">
        <v>81</v>
      </c>
      <c r="G58" s="2" t="s">
        <v>19</v>
      </c>
      <c r="H58" s="20">
        <v>3</v>
      </c>
      <c r="I58" s="13">
        <v>699.99</v>
      </c>
      <c r="J58" s="2" t="s">
        <v>26</v>
      </c>
      <c r="K58" s="2" t="s">
        <v>63</v>
      </c>
      <c r="L58" s="2" t="s">
        <v>27</v>
      </c>
      <c r="M58" s="3">
        <v>45102</v>
      </c>
      <c r="N58" s="17">
        <v>2099.9699999999998</v>
      </c>
      <c r="O58" s="27">
        <f t="shared" ca="1" si="1"/>
        <v>46324.554708333337</v>
      </c>
      <c r="P58" s="28" t="str">
        <f t="shared" si="0"/>
        <v>High</v>
      </c>
    </row>
    <row r="59" spans="1:16" ht="15" thickBot="1">
      <c r="A59" s="5" t="s">
        <v>176</v>
      </c>
      <c r="B59" s="3">
        <v>45471</v>
      </c>
      <c r="C59" s="2" t="s">
        <v>99</v>
      </c>
      <c r="D59" s="2" t="s">
        <v>100</v>
      </c>
      <c r="E59" s="2" t="s">
        <v>61</v>
      </c>
      <c r="F59" s="2" t="s">
        <v>62</v>
      </c>
      <c r="G59" s="2" t="s">
        <v>19</v>
      </c>
      <c r="H59" s="20">
        <v>4</v>
      </c>
      <c r="I59" s="13">
        <v>899.99</v>
      </c>
      <c r="J59" s="2" t="s">
        <v>26</v>
      </c>
      <c r="K59" s="2" t="s">
        <v>63</v>
      </c>
      <c r="L59" s="2" t="s">
        <v>27</v>
      </c>
      <c r="M59" s="3">
        <v>44993</v>
      </c>
      <c r="N59" s="17">
        <v>3599.96</v>
      </c>
      <c r="O59" s="27">
        <f t="shared" ca="1" si="1"/>
        <v>46324.554708333337</v>
      </c>
      <c r="P59" s="28" t="str">
        <f t="shared" si="0"/>
        <v>High</v>
      </c>
    </row>
    <row r="60" spans="1:16" ht="15" thickBot="1">
      <c r="A60" s="5" t="s">
        <v>177</v>
      </c>
      <c r="B60" s="3">
        <v>45472</v>
      </c>
      <c r="C60" s="2" t="s">
        <v>120</v>
      </c>
      <c r="D60" s="2" t="s">
        <v>121</v>
      </c>
      <c r="E60" s="2" t="s">
        <v>44</v>
      </c>
      <c r="F60" s="2" t="s">
        <v>45</v>
      </c>
      <c r="G60" s="2" t="s">
        <v>46</v>
      </c>
      <c r="H60" s="20">
        <v>1</v>
      </c>
      <c r="I60" s="13">
        <v>149.99</v>
      </c>
      <c r="J60" s="2" t="s">
        <v>34</v>
      </c>
      <c r="K60" s="2" t="s">
        <v>63</v>
      </c>
      <c r="L60" s="2" t="s">
        <v>22</v>
      </c>
      <c r="M60" s="3">
        <v>44851</v>
      </c>
      <c r="N60" s="17">
        <v>149.99</v>
      </c>
      <c r="O60" s="27">
        <f t="shared" ca="1" si="1"/>
        <v>46324.554708333337</v>
      </c>
      <c r="P60" s="28" t="str">
        <f t="shared" si="0"/>
        <v>Low</v>
      </c>
    </row>
    <row r="61" spans="1:16" ht="15" thickBot="1">
      <c r="A61" s="5" t="s">
        <v>178</v>
      </c>
      <c r="B61" s="3">
        <v>45474</v>
      </c>
      <c r="C61" s="2" t="s">
        <v>132</v>
      </c>
      <c r="D61" s="2" t="s">
        <v>133</v>
      </c>
      <c r="E61" s="2" t="s">
        <v>117</v>
      </c>
      <c r="F61" s="2" t="s">
        <v>118</v>
      </c>
      <c r="G61" s="2" t="s">
        <v>19</v>
      </c>
      <c r="H61" s="20">
        <v>2</v>
      </c>
      <c r="I61" s="13">
        <v>89.99</v>
      </c>
      <c r="J61" s="2" t="s">
        <v>34</v>
      </c>
      <c r="K61" s="2" t="s">
        <v>21</v>
      </c>
      <c r="L61" s="2" t="s">
        <v>27</v>
      </c>
      <c r="M61" s="3">
        <v>45275</v>
      </c>
      <c r="N61" s="17">
        <v>179.98</v>
      </c>
      <c r="O61" s="27">
        <f t="shared" ca="1" si="1"/>
        <v>46324.554708333337</v>
      </c>
      <c r="P61" s="28" t="str">
        <f t="shared" si="0"/>
        <v>Low</v>
      </c>
    </row>
    <row r="62" spans="1:16" ht="15" thickBot="1">
      <c r="A62" s="5" t="s">
        <v>179</v>
      </c>
      <c r="B62" s="3">
        <v>45475</v>
      </c>
      <c r="C62" s="2" t="s">
        <v>55</v>
      </c>
      <c r="D62" s="2" t="s">
        <v>56</v>
      </c>
      <c r="E62" s="2" t="s">
        <v>117</v>
      </c>
      <c r="F62" s="2" t="s">
        <v>118</v>
      </c>
      <c r="G62" s="2" t="s">
        <v>19</v>
      </c>
      <c r="H62" s="20">
        <v>1</v>
      </c>
      <c r="I62" s="13">
        <v>89.99</v>
      </c>
      <c r="J62" s="2" t="s">
        <v>34</v>
      </c>
      <c r="K62" s="2" t="s">
        <v>50</v>
      </c>
      <c r="L62" s="2" t="s">
        <v>36</v>
      </c>
      <c r="M62" s="3">
        <v>44802</v>
      </c>
      <c r="N62" s="17">
        <v>89.99</v>
      </c>
      <c r="O62" s="27">
        <f t="shared" ca="1" si="1"/>
        <v>46324.554708333337</v>
      </c>
      <c r="P62" s="28" t="str">
        <f t="shared" si="0"/>
        <v>Low</v>
      </c>
    </row>
    <row r="63" spans="1:16" ht="15" thickBot="1">
      <c r="A63" s="5" t="s">
        <v>180</v>
      </c>
      <c r="B63" s="3">
        <v>45476</v>
      </c>
      <c r="C63" s="2" t="s">
        <v>68</v>
      </c>
      <c r="D63" s="2" t="s">
        <v>69</v>
      </c>
      <c r="E63" s="2" t="s">
        <v>117</v>
      </c>
      <c r="F63" s="2" t="s">
        <v>118</v>
      </c>
      <c r="G63" s="2" t="s">
        <v>19</v>
      </c>
      <c r="H63" s="20">
        <v>1</v>
      </c>
      <c r="I63" s="13">
        <v>89.99</v>
      </c>
      <c r="J63" s="2" t="s">
        <v>20</v>
      </c>
      <c r="K63" s="2" t="s">
        <v>35</v>
      </c>
      <c r="L63" s="2" t="s">
        <v>36</v>
      </c>
      <c r="M63" s="3">
        <v>44611</v>
      </c>
      <c r="N63" s="17">
        <v>89.99</v>
      </c>
      <c r="O63" s="27">
        <f t="shared" ca="1" si="1"/>
        <v>46324.554708333337</v>
      </c>
      <c r="P63" s="28" t="str">
        <f t="shared" si="0"/>
        <v>Low</v>
      </c>
    </row>
    <row r="64" spans="1:16" ht="15" thickBot="1">
      <c r="A64" s="5" t="s">
        <v>181</v>
      </c>
      <c r="B64" s="3">
        <v>45476</v>
      </c>
      <c r="C64" s="2" t="s">
        <v>182</v>
      </c>
      <c r="D64" s="2" t="s">
        <v>183</v>
      </c>
      <c r="E64" s="2" t="s">
        <v>114</v>
      </c>
      <c r="F64" s="2" t="s">
        <v>115</v>
      </c>
      <c r="G64" s="2" t="s">
        <v>33</v>
      </c>
      <c r="H64" s="20">
        <v>5</v>
      </c>
      <c r="I64" s="13">
        <v>79.989999999999995</v>
      </c>
      <c r="J64" s="2" t="s">
        <v>57</v>
      </c>
      <c r="K64" s="2" t="s">
        <v>21</v>
      </c>
      <c r="L64" s="2" t="s">
        <v>22</v>
      </c>
      <c r="M64" s="3">
        <v>44981</v>
      </c>
      <c r="N64" s="17">
        <v>399.95</v>
      </c>
      <c r="O64" s="27">
        <f t="shared" ca="1" si="1"/>
        <v>46324.554708333337</v>
      </c>
      <c r="P64" s="28" t="str">
        <f t="shared" si="0"/>
        <v>Low</v>
      </c>
    </row>
    <row r="65" spans="1:16" ht="15" thickBot="1">
      <c r="A65" s="5" t="s">
        <v>184</v>
      </c>
      <c r="B65" s="3">
        <v>45481</v>
      </c>
      <c r="C65" s="2" t="s">
        <v>185</v>
      </c>
      <c r="D65" s="2" t="s">
        <v>186</v>
      </c>
      <c r="E65" s="2" t="s">
        <v>44</v>
      </c>
      <c r="F65" s="2" t="s">
        <v>45</v>
      </c>
      <c r="G65" s="2" t="s">
        <v>46</v>
      </c>
      <c r="H65" s="20">
        <v>1</v>
      </c>
      <c r="I65" s="13">
        <v>149.99</v>
      </c>
      <c r="J65" s="2" t="s">
        <v>34</v>
      </c>
      <c r="K65" s="2" t="s">
        <v>40</v>
      </c>
      <c r="L65" s="2" t="s">
        <v>22</v>
      </c>
      <c r="M65" s="3">
        <v>44421</v>
      </c>
      <c r="N65" s="17">
        <v>149.99</v>
      </c>
      <c r="O65" s="27">
        <f t="shared" ca="1" si="1"/>
        <v>46324.554708333337</v>
      </c>
      <c r="P65" s="28" t="str">
        <f t="shared" si="0"/>
        <v>Low</v>
      </c>
    </row>
    <row r="66" spans="1:16" ht="15" thickBot="1">
      <c r="A66" s="5" t="s">
        <v>187</v>
      </c>
      <c r="B66" s="3">
        <v>45481</v>
      </c>
      <c r="C66" s="2" t="s">
        <v>42</v>
      </c>
      <c r="D66" s="2" t="s">
        <v>43</v>
      </c>
      <c r="E66" s="2" t="s">
        <v>80</v>
      </c>
      <c r="F66" s="2" t="s">
        <v>81</v>
      </c>
      <c r="G66" s="2" t="s">
        <v>19</v>
      </c>
      <c r="H66" s="20">
        <v>2</v>
      </c>
      <c r="I66" s="13">
        <v>699.99</v>
      </c>
      <c r="J66" s="2" t="s">
        <v>34</v>
      </c>
      <c r="K66" s="2" t="s">
        <v>63</v>
      </c>
      <c r="L66" s="2" t="s">
        <v>27</v>
      </c>
      <c r="M66" s="3">
        <v>45389</v>
      </c>
      <c r="N66" s="17">
        <v>1399.98</v>
      </c>
      <c r="O66" s="27">
        <f t="shared" ref="O66:O129" ca="1" si="2">IF(A66&lt;&gt;"",NOW(),"")</f>
        <v>46324.554708333337</v>
      </c>
      <c r="P66" s="28" t="str">
        <f t="shared" ref="P66:P129" si="3">IF(N66&gt;=1000,"High",IF(N66&gt;=500,"Medium","Low"))</f>
        <v>High</v>
      </c>
    </row>
    <row r="67" spans="1:16" ht="15" thickBot="1">
      <c r="A67" s="5" t="s">
        <v>188</v>
      </c>
      <c r="B67" s="3">
        <v>45481</v>
      </c>
      <c r="C67" s="2" t="s">
        <v>96</v>
      </c>
      <c r="D67" s="2" t="s">
        <v>97</v>
      </c>
      <c r="E67" s="2" t="s">
        <v>117</v>
      </c>
      <c r="F67" s="2" t="s">
        <v>118</v>
      </c>
      <c r="G67" s="2" t="s">
        <v>19</v>
      </c>
      <c r="H67" s="20">
        <v>5</v>
      </c>
      <c r="I67" s="13">
        <v>89.99</v>
      </c>
      <c r="J67" s="2" t="s">
        <v>57</v>
      </c>
      <c r="K67" s="2" t="s">
        <v>40</v>
      </c>
      <c r="L67" s="2" t="s">
        <v>27</v>
      </c>
      <c r="M67" s="3">
        <v>45161</v>
      </c>
      <c r="N67" s="17">
        <v>449.95</v>
      </c>
      <c r="O67" s="27">
        <f t="shared" ca="1" si="2"/>
        <v>46324.554708333337</v>
      </c>
      <c r="P67" s="28" t="str">
        <f t="shared" si="3"/>
        <v>Low</v>
      </c>
    </row>
    <row r="68" spans="1:16" ht="15" thickBot="1">
      <c r="A68" s="5" t="s">
        <v>189</v>
      </c>
      <c r="B68" s="3">
        <v>45482</v>
      </c>
      <c r="C68" s="2" t="s">
        <v>171</v>
      </c>
      <c r="D68" s="2" t="s">
        <v>172</v>
      </c>
      <c r="E68" s="2" t="s">
        <v>31</v>
      </c>
      <c r="F68" s="2" t="s">
        <v>32</v>
      </c>
      <c r="G68" s="2" t="s">
        <v>33</v>
      </c>
      <c r="H68" s="20">
        <v>4</v>
      </c>
      <c r="I68" s="13">
        <v>59.99</v>
      </c>
      <c r="J68" s="2" t="s">
        <v>20</v>
      </c>
      <c r="K68" s="2" t="s">
        <v>35</v>
      </c>
      <c r="L68" s="2" t="s">
        <v>36</v>
      </c>
      <c r="M68" s="3">
        <v>44509</v>
      </c>
      <c r="N68" s="17">
        <v>239.96</v>
      </c>
      <c r="O68" s="27">
        <f t="shared" ca="1" si="2"/>
        <v>46324.554708333337</v>
      </c>
      <c r="P68" s="28" t="str">
        <f t="shared" si="3"/>
        <v>Low</v>
      </c>
    </row>
    <row r="69" spans="1:16" ht="15" thickBot="1">
      <c r="A69" s="5" t="s">
        <v>190</v>
      </c>
      <c r="B69" s="3">
        <v>45484</v>
      </c>
      <c r="C69" s="2" t="s">
        <v>24</v>
      </c>
      <c r="D69" s="2" t="s">
        <v>25</v>
      </c>
      <c r="E69" s="2" t="s">
        <v>52</v>
      </c>
      <c r="F69" s="2" t="s">
        <v>53</v>
      </c>
      <c r="G69" s="2" t="s">
        <v>19</v>
      </c>
      <c r="H69" s="20">
        <v>1</v>
      </c>
      <c r="I69" s="13">
        <v>149.99</v>
      </c>
      <c r="J69" s="2" t="s">
        <v>20</v>
      </c>
      <c r="K69" s="2" t="s">
        <v>21</v>
      </c>
      <c r="L69" s="2" t="s">
        <v>36</v>
      </c>
      <c r="M69" s="3">
        <v>44909</v>
      </c>
      <c r="N69" s="17">
        <v>149.99</v>
      </c>
      <c r="O69" s="27">
        <f t="shared" ca="1" si="2"/>
        <v>46324.554708333337</v>
      </c>
      <c r="P69" s="28" t="str">
        <f t="shared" si="3"/>
        <v>Low</v>
      </c>
    </row>
    <row r="70" spans="1:16" ht="15" thickBot="1">
      <c r="A70" s="5" t="s">
        <v>191</v>
      </c>
      <c r="B70" s="3">
        <v>45484</v>
      </c>
      <c r="C70" s="2" t="s">
        <v>192</v>
      </c>
      <c r="D70" s="2" t="s">
        <v>193</v>
      </c>
      <c r="E70" s="2" t="s">
        <v>105</v>
      </c>
      <c r="F70" s="2" t="s">
        <v>106</v>
      </c>
      <c r="G70" s="2" t="s">
        <v>46</v>
      </c>
      <c r="H70" s="20">
        <v>1</v>
      </c>
      <c r="I70" s="13">
        <v>299.99</v>
      </c>
      <c r="J70" s="2" t="s">
        <v>26</v>
      </c>
      <c r="K70" s="2" t="s">
        <v>40</v>
      </c>
      <c r="L70" s="2" t="s">
        <v>27</v>
      </c>
      <c r="M70" s="3">
        <v>44891</v>
      </c>
      <c r="N70" s="17">
        <v>299.99</v>
      </c>
      <c r="O70" s="27">
        <f t="shared" ca="1" si="2"/>
        <v>46324.554708333337</v>
      </c>
      <c r="P70" s="28" t="str">
        <f t="shared" si="3"/>
        <v>Low</v>
      </c>
    </row>
    <row r="71" spans="1:16" ht="15" thickBot="1">
      <c r="A71" s="5" t="s">
        <v>194</v>
      </c>
      <c r="B71" s="3">
        <v>45487</v>
      </c>
      <c r="C71" s="2" t="s">
        <v>192</v>
      </c>
      <c r="D71" s="2" t="s">
        <v>193</v>
      </c>
      <c r="E71" s="2" t="s">
        <v>126</v>
      </c>
      <c r="F71" s="2" t="s">
        <v>127</v>
      </c>
      <c r="G71" s="2" t="s">
        <v>46</v>
      </c>
      <c r="H71" s="20">
        <v>2</v>
      </c>
      <c r="I71" s="13">
        <v>199.99</v>
      </c>
      <c r="J71" s="2" t="s">
        <v>20</v>
      </c>
      <c r="K71" s="2" t="s">
        <v>40</v>
      </c>
      <c r="L71" s="2" t="s">
        <v>22</v>
      </c>
      <c r="M71" s="3">
        <v>44541</v>
      </c>
      <c r="N71" s="17">
        <v>399.98</v>
      </c>
      <c r="O71" s="27">
        <f t="shared" ca="1" si="2"/>
        <v>46324.554708333337</v>
      </c>
      <c r="P71" s="28" t="str">
        <f t="shared" si="3"/>
        <v>Low</v>
      </c>
    </row>
    <row r="72" spans="1:16" ht="15" thickBot="1">
      <c r="A72" s="5" t="s">
        <v>195</v>
      </c>
      <c r="B72" s="3">
        <v>45490</v>
      </c>
      <c r="C72" s="2" t="s">
        <v>196</v>
      </c>
      <c r="D72" s="2" t="s">
        <v>197</v>
      </c>
      <c r="E72" s="2" t="s">
        <v>31</v>
      </c>
      <c r="F72" s="2" t="s">
        <v>32</v>
      </c>
      <c r="G72" s="2" t="s">
        <v>33</v>
      </c>
      <c r="H72" s="20">
        <v>3</v>
      </c>
      <c r="I72" s="13">
        <v>59.99</v>
      </c>
      <c r="J72" s="2" t="s">
        <v>26</v>
      </c>
      <c r="K72" s="2" t="s">
        <v>50</v>
      </c>
      <c r="L72" s="2" t="s">
        <v>22</v>
      </c>
      <c r="M72" s="3">
        <v>45130</v>
      </c>
      <c r="N72" s="17">
        <v>179.97</v>
      </c>
      <c r="O72" s="27">
        <f t="shared" ca="1" si="2"/>
        <v>46324.554708333337</v>
      </c>
      <c r="P72" s="28" t="str">
        <f t="shared" si="3"/>
        <v>Low</v>
      </c>
    </row>
    <row r="73" spans="1:16" ht="15" thickBot="1">
      <c r="A73" s="5" t="s">
        <v>198</v>
      </c>
      <c r="B73" s="3">
        <v>45490</v>
      </c>
      <c r="C73" s="2" t="s">
        <v>72</v>
      </c>
      <c r="D73" s="2" t="s">
        <v>73</v>
      </c>
      <c r="E73" s="2" t="s">
        <v>44</v>
      </c>
      <c r="F73" s="2" t="s">
        <v>45</v>
      </c>
      <c r="G73" s="2" t="s">
        <v>46</v>
      </c>
      <c r="H73" s="20">
        <v>3</v>
      </c>
      <c r="I73" s="13">
        <v>149.99</v>
      </c>
      <c r="J73" s="2" t="s">
        <v>20</v>
      </c>
      <c r="K73" s="2" t="s">
        <v>21</v>
      </c>
      <c r="L73" s="2" t="s">
        <v>27</v>
      </c>
      <c r="M73" s="3">
        <v>45199</v>
      </c>
      <c r="N73" s="17">
        <v>449.97</v>
      </c>
      <c r="O73" s="27">
        <f t="shared" ca="1" si="2"/>
        <v>46324.554708333337</v>
      </c>
      <c r="P73" s="28" t="str">
        <f t="shared" si="3"/>
        <v>Low</v>
      </c>
    </row>
    <row r="74" spans="1:16" ht="15" thickBot="1">
      <c r="A74" s="5" t="s">
        <v>199</v>
      </c>
      <c r="B74" s="3">
        <v>45491</v>
      </c>
      <c r="C74" s="2" t="s">
        <v>65</v>
      </c>
      <c r="D74" s="2" t="s">
        <v>66</v>
      </c>
      <c r="E74" s="2" t="s">
        <v>126</v>
      </c>
      <c r="F74" s="2" t="s">
        <v>127</v>
      </c>
      <c r="G74" s="2" t="s">
        <v>46</v>
      </c>
      <c r="H74" s="20">
        <v>3</v>
      </c>
      <c r="I74" s="13">
        <v>199.99</v>
      </c>
      <c r="J74" s="2" t="s">
        <v>20</v>
      </c>
      <c r="K74" s="2" t="s">
        <v>40</v>
      </c>
      <c r="L74" s="2" t="s">
        <v>27</v>
      </c>
      <c r="M74" s="3">
        <v>45254</v>
      </c>
      <c r="N74" s="17">
        <v>599.97</v>
      </c>
      <c r="O74" s="27">
        <f t="shared" ca="1" si="2"/>
        <v>46324.554708333337</v>
      </c>
      <c r="P74" s="28" t="str">
        <f t="shared" si="3"/>
        <v>Medium</v>
      </c>
    </row>
    <row r="75" spans="1:16" ht="15" thickBot="1">
      <c r="A75" s="5" t="s">
        <v>200</v>
      </c>
      <c r="B75" s="3">
        <v>45496</v>
      </c>
      <c r="C75" s="2" t="s">
        <v>150</v>
      </c>
      <c r="D75" s="2" t="s">
        <v>151</v>
      </c>
      <c r="E75" s="2" t="s">
        <v>61</v>
      </c>
      <c r="F75" s="2" t="s">
        <v>62</v>
      </c>
      <c r="G75" s="2" t="s">
        <v>19</v>
      </c>
      <c r="H75" s="20">
        <v>1</v>
      </c>
      <c r="I75" s="13">
        <v>899.99</v>
      </c>
      <c r="J75" s="2" t="s">
        <v>20</v>
      </c>
      <c r="K75" s="2" t="s">
        <v>21</v>
      </c>
      <c r="L75" s="2" t="s">
        <v>36</v>
      </c>
      <c r="M75" s="3">
        <v>45179</v>
      </c>
      <c r="N75" s="17">
        <v>899.99</v>
      </c>
      <c r="O75" s="27">
        <f t="shared" ca="1" si="2"/>
        <v>46324.554708333337</v>
      </c>
      <c r="P75" s="28" t="str">
        <f t="shared" si="3"/>
        <v>Medium</v>
      </c>
    </row>
    <row r="76" spans="1:16" ht="15" thickBot="1">
      <c r="A76" s="5" t="s">
        <v>201</v>
      </c>
      <c r="B76" s="3">
        <v>45497</v>
      </c>
      <c r="C76" s="2" t="s">
        <v>24</v>
      </c>
      <c r="D76" s="2" t="s">
        <v>25</v>
      </c>
      <c r="E76" s="2" t="s">
        <v>61</v>
      </c>
      <c r="F76" s="2" t="s">
        <v>62</v>
      </c>
      <c r="G76" s="2" t="s">
        <v>19</v>
      </c>
      <c r="H76" s="20">
        <v>5</v>
      </c>
      <c r="I76" s="13">
        <v>899.99</v>
      </c>
      <c r="J76" s="2" t="s">
        <v>57</v>
      </c>
      <c r="K76" s="2" t="s">
        <v>35</v>
      </c>
      <c r="L76" s="2" t="s">
        <v>36</v>
      </c>
      <c r="M76" s="3">
        <v>44899</v>
      </c>
      <c r="N76" s="17">
        <v>4499.95</v>
      </c>
      <c r="O76" s="27">
        <f t="shared" ca="1" si="2"/>
        <v>46324.554708333337</v>
      </c>
      <c r="P76" s="28" t="str">
        <f t="shared" si="3"/>
        <v>High</v>
      </c>
    </row>
    <row r="77" spans="1:16" ht="15" thickBot="1">
      <c r="A77" s="5" t="s">
        <v>202</v>
      </c>
      <c r="B77" s="3">
        <v>45498</v>
      </c>
      <c r="C77" s="2" t="s">
        <v>182</v>
      </c>
      <c r="D77" s="2" t="s">
        <v>183</v>
      </c>
      <c r="E77" s="2" t="s">
        <v>31</v>
      </c>
      <c r="F77" s="2" t="s">
        <v>32</v>
      </c>
      <c r="G77" s="2" t="s">
        <v>33</v>
      </c>
      <c r="H77" s="20">
        <v>2</v>
      </c>
      <c r="I77" s="13">
        <v>59.99</v>
      </c>
      <c r="J77" s="2" t="s">
        <v>20</v>
      </c>
      <c r="K77" s="2" t="s">
        <v>40</v>
      </c>
      <c r="L77" s="2" t="s">
        <v>36</v>
      </c>
      <c r="M77" s="3">
        <v>45152</v>
      </c>
      <c r="N77" s="17">
        <v>119.98</v>
      </c>
      <c r="O77" s="27">
        <f t="shared" ca="1" si="2"/>
        <v>46324.554708333337</v>
      </c>
      <c r="P77" s="28" t="str">
        <f t="shared" si="3"/>
        <v>Low</v>
      </c>
    </row>
    <row r="78" spans="1:16" ht="15" thickBot="1">
      <c r="A78" s="5" t="s">
        <v>203</v>
      </c>
      <c r="B78" s="3">
        <v>45498</v>
      </c>
      <c r="C78" s="2" t="s">
        <v>196</v>
      </c>
      <c r="D78" s="2" t="s">
        <v>197</v>
      </c>
      <c r="E78" s="2" t="s">
        <v>17</v>
      </c>
      <c r="F78" s="2" t="s">
        <v>18</v>
      </c>
      <c r="G78" s="2" t="s">
        <v>19</v>
      </c>
      <c r="H78" s="20">
        <v>4</v>
      </c>
      <c r="I78" s="13">
        <v>249.99</v>
      </c>
      <c r="J78" s="2" t="s">
        <v>57</v>
      </c>
      <c r="K78" s="2" t="s">
        <v>21</v>
      </c>
      <c r="L78" s="2" t="s">
        <v>36</v>
      </c>
      <c r="M78" s="3">
        <v>45127</v>
      </c>
      <c r="N78" s="17">
        <v>999.96</v>
      </c>
      <c r="O78" s="27">
        <f t="shared" ca="1" si="2"/>
        <v>46324.554708333337</v>
      </c>
      <c r="P78" s="28" t="str">
        <f t="shared" si="3"/>
        <v>Medium</v>
      </c>
    </row>
    <row r="79" spans="1:16" ht="15" thickBot="1">
      <c r="A79" s="5" t="s">
        <v>204</v>
      </c>
      <c r="B79" s="3">
        <v>45500</v>
      </c>
      <c r="C79" s="2" t="s">
        <v>96</v>
      </c>
      <c r="D79" s="2" t="s">
        <v>97</v>
      </c>
      <c r="E79" s="2" t="s">
        <v>17</v>
      </c>
      <c r="F79" s="2" t="s">
        <v>18</v>
      </c>
      <c r="G79" s="2" t="s">
        <v>19</v>
      </c>
      <c r="H79" s="20">
        <v>2</v>
      </c>
      <c r="I79" s="13">
        <v>249.99</v>
      </c>
      <c r="J79" s="2" t="s">
        <v>20</v>
      </c>
      <c r="K79" s="2" t="s">
        <v>40</v>
      </c>
      <c r="L79" s="2" t="s">
        <v>27</v>
      </c>
      <c r="M79" s="3">
        <v>45164</v>
      </c>
      <c r="N79" s="17">
        <v>499.98</v>
      </c>
      <c r="O79" s="27">
        <f t="shared" ca="1" si="2"/>
        <v>46324.554708333337</v>
      </c>
      <c r="P79" s="28" t="str">
        <f t="shared" si="3"/>
        <v>Low</v>
      </c>
    </row>
    <row r="80" spans="1:16" ht="15" thickBot="1">
      <c r="A80" s="5" t="s">
        <v>205</v>
      </c>
      <c r="B80" s="3">
        <v>45500</v>
      </c>
      <c r="C80" s="2" t="s">
        <v>147</v>
      </c>
      <c r="D80" s="2" t="s">
        <v>148</v>
      </c>
      <c r="E80" s="2" t="s">
        <v>105</v>
      </c>
      <c r="F80" s="2" t="s">
        <v>106</v>
      </c>
      <c r="G80" s="2" t="s">
        <v>46</v>
      </c>
      <c r="H80" s="20">
        <v>1</v>
      </c>
      <c r="I80" s="13">
        <v>299.99</v>
      </c>
      <c r="J80" s="2" t="s">
        <v>20</v>
      </c>
      <c r="K80" s="2" t="s">
        <v>35</v>
      </c>
      <c r="L80" s="2" t="s">
        <v>22</v>
      </c>
      <c r="M80" s="3">
        <v>44982</v>
      </c>
      <c r="N80" s="17">
        <v>299.99</v>
      </c>
      <c r="O80" s="27">
        <f t="shared" ca="1" si="2"/>
        <v>46324.554708333337</v>
      </c>
      <c r="P80" s="28" t="str">
        <f t="shared" si="3"/>
        <v>Low</v>
      </c>
    </row>
    <row r="81" spans="1:16" ht="15" thickBot="1">
      <c r="A81" s="5" t="s">
        <v>206</v>
      </c>
      <c r="B81" s="3">
        <v>45501</v>
      </c>
      <c r="C81" s="2" t="s">
        <v>86</v>
      </c>
      <c r="D81" s="2" t="s">
        <v>87</v>
      </c>
      <c r="E81" s="2" t="s">
        <v>117</v>
      </c>
      <c r="F81" s="2" t="s">
        <v>118</v>
      </c>
      <c r="G81" s="2" t="s">
        <v>19</v>
      </c>
      <c r="H81" s="20">
        <v>2</v>
      </c>
      <c r="I81" s="13">
        <v>89.99</v>
      </c>
      <c r="J81" s="2" t="s">
        <v>34</v>
      </c>
      <c r="K81" s="2" t="s">
        <v>35</v>
      </c>
      <c r="L81" s="2" t="s">
        <v>22</v>
      </c>
      <c r="M81" s="3">
        <v>44976</v>
      </c>
      <c r="N81" s="17">
        <v>179.98</v>
      </c>
      <c r="O81" s="27">
        <f t="shared" ca="1" si="2"/>
        <v>46324.554708333337</v>
      </c>
      <c r="P81" s="28" t="str">
        <f t="shared" si="3"/>
        <v>Low</v>
      </c>
    </row>
    <row r="82" spans="1:16" ht="15" thickBot="1">
      <c r="A82" s="5" t="s">
        <v>207</v>
      </c>
      <c r="B82" s="3">
        <v>45501</v>
      </c>
      <c r="C82" s="2" t="s">
        <v>147</v>
      </c>
      <c r="D82" s="2" t="s">
        <v>148</v>
      </c>
      <c r="E82" s="2" t="s">
        <v>105</v>
      </c>
      <c r="F82" s="2" t="s">
        <v>106</v>
      </c>
      <c r="G82" s="2" t="s">
        <v>46</v>
      </c>
      <c r="H82" s="20">
        <v>3</v>
      </c>
      <c r="I82" s="13">
        <v>299.99</v>
      </c>
      <c r="J82" s="2" t="s">
        <v>20</v>
      </c>
      <c r="K82" s="2" t="s">
        <v>21</v>
      </c>
      <c r="L82" s="2" t="s">
        <v>22</v>
      </c>
      <c r="M82" s="3">
        <v>44732</v>
      </c>
      <c r="N82" s="17">
        <v>899.97</v>
      </c>
      <c r="O82" s="27">
        <f t="shared" ca="1" si="2"/>
        <v>46324.554708333337</v>
      </c>
      <c r="P82" s="28" t="str">
        <f t="shared" si="3"/>
        <v>Medium</v>
      </c>
    </row>
    <row r="83" spans="1:16" ht="15" thickBot="1">
      <c r="A83" s="5" t="s">
        <v>208</v>
      </c>
      <c r="B83" s="3">
        <v>45503</v>
      </c>
      <c r="C83" s="2" t="s">
        <v>86</v>
      </c>
      <c r="D83" s="2" t="s">
        <v>87</v>
      </c>
      <c r="E83" s="2" t="s">
        <v>80</v>
      </c>
      <c r="F83" s="2" t="s">
        <v>81</v>
      </c>
      <c r="G83" s="2" t="s">
        <v>19</v>
      </c>
      <c r="H83" s="20">
        <v>2</v>
      </c>
      <c r="I83" s="13">
        <v>699.99</v>
      </c>
      <c r="J83" s="2" t="s">
        <v>26</v>
      </c>
      <c r="K83" s="2" t="s">
        <v>40</v>
      </c>
      <c r="L83" s="2" t="s">
        <v>27</v>
      </c>
      <c r="M83" s="3">
        <v>44999</v>
      </c>
      <c r="N83" s="17">
        <v>1399.98</v>
      </c>
      <c r="O83" s="27">
        <f t="shared" ca="1" si="2"/>
        <v>46324.554708333337</v>
      </c>
      <c r="P83" s="28" t="str">
        <f t="shared" si="3"/>
        <v>High</v>
      </c>
    </row>
    <row r="84" spans="1:16" ht="15" thickBot="1">
      <c r="A84" s="5" t="s">
        <v>209</v>
      </c>
      <c r="B84" s="3">
        <v>45504</v>
      </c>
      <c r="C84" s="2" t="s">
        <v>120</v>
      </c>
      <c r="D84" s="2" t="s">
        <v>121</v>
      </c>
      <c r="E84" s="2" t="s">
        <v>61</v>
      </c>
      <c r="F84" s="2" t="s">
        <v>62</v>
      </c>
      <c r="G84" s="2" t="s">
        <v>19</v>
      </c>
      <c r="H84" s="20">
        <v>4</v>
      </c>
      <c r="I84" s="13">
        <v>899.99</v>
      </c>
      <c r="J84" s="2" t="s">
        <v>57</v>
      </c>
      <c r="K84" s="2" t="s">
        <v>35</v>
      </c>
      <c r="L84" s="2" t="s">
        <v>36</v>
      </c>
      <c r="M84" s="3">
        <v>44523</v>
      </c>
      <c r="N84" s="17">
        <v>3599.96</v>
      </c>
      <c r="O84" s="27">
        <f t="shared" ca="1" si="2"/>
        <v>46324.554708333337</v>
      </c>
      <c r="P84" s="28" t="str">
        <f t="shared" si="3"/>
        <v>High</v>
      </c>
    </row>
    <row r="85" spans="1:16" ht="15" thickBot="1">
      <c r="A85" s="5" t="s">
        <v>210</v>
      </c>
      <c r="B85" s="3">
        <v>45509</v>
      </c>
      <c r="C85" s="2" t="s">
        <v>211</v>
      </c>
      <c r="D85" s="2" t="s">
        <v>212</v>
      </c>
      <c r="E85" s="2" t="s">
        <v>44</v>
      </c>
      <c r="F85" s="2" t="s">
        <v>45</v>
      </c>
      <c r="G85" s="2" t="s">
        <v>46</v>
      </c>
      <c r="H85" s="20">
        <v>2</v>
      </c>
      <c r="I85" s="13">
        <v>149.99</v>
      </c>
      <c r="J85" s="2" t="s">
        <v>26</v>
      </c>
      <c r="K85" s="2" t="s">
        <v>50</v>
      </c>
      <c r="L85" s="2" t="s">
        <v>22</v>
      </c>
      <c r="M85" s="3">
        <v>44542</v>
      </c>
      <c r="N85" s="17">
        <v>299.98</v>
      </c>
      <c r="O85" s="27">
        <f t="shared" ca="1" si="2"/>
        <v>46324.554708333337</v>
      </c>
      <c r="P85" s="28" t="str">
        <f t="shared" si="3"/>
        <v>Low</v>
      </c>
    </row>
    <row r="86" spans="1:16" ht="15" thickBot="1">
      <c r="A86" s="5" t="s">
        <v>213</v>
      </c>
      <c r="B86" s="3">
        <v>45510</v>
      </c>
      <c r="C86" s="2" t="s">
        <v>102</v>
      </c>
      <c r="D86" s="2" t="s">
        <v>103</v>
      </c>
      <c r="E86" s="2" t="s">
        <v>44</v>
      </c>
      <c r="F86" s="2" t="s">
        <v>45</v>
      </c>
      <c r="G86" s="2" t="s">
        <v>46</v>
      </c>
      <c r="H86" s="20">
        <v>2</v>
      </c>
      <c r="I86" s="13">
        <v>149.99</v>
      </c>
      <c r="J86" s="2" t="s">
        <v>57</v>
      </c>
      <c r="K86" s="2" t="s">
        <v>63</v>
      </c>
      <c r="L86" s="2" t="s">
        <v>36</v>
      </c>
      <c r="M86" s="3">
        <v>44667</v>
      </c>
      <c r="N86" s="17">
        <v>299.98</v>
      </c>
      <c r="O86" s="27">
        <f t="shared" ca="1" si="2"/>
        <v>46324.554708333337</v>
      </c>
      <c r="P86" s="28" t="str">
        <f t="shared" si="3"/>
        <v>Low</v>
      </c>
    </row>
    <row r="87" spans="1:16" ht="15" thickBot="1">
      <c r="A87" s="5" t="s">
        <v>214</v>
      </c>
      <c r="B87" s="3">
        <v>45513</v>
      </c>
      <c r="C87" s="2" t="s">
        <v>89</v>
      </c>
      <c r="D87" s="2" t="s">
        <v>90</v>
      </c>
      <c r="E87" s="2" t="s">
        <v>117</v>
      </c>
      <c r="F87" s="2" t="s">
        <v>118</v>
      </c>
      <c r="G87" s="2" t="s">
        <v>19</v>
      </c>
      <c r="H87" s="20">
        <v>1</v>
      </c>
      <c r="I87" s="13">
        <v>89.99</v>
      </c>
      <c r="J87" s="2" t="s">
        <v>26</v>
      </c>
      <c r="K87" s="2" t="s">
        <v>40</v>
      </c>
      <c r="L87" s="2" t="s">
        <v>36</v>
      </c>
      <c r="M87" s="3">
        <v>45393</v>
      </c>
      <c r="N87" s="17">
        <v>89.99</v>
      </c>
      <c r="O87" s="27">
        <f t="shared" ca="1" si="2"/>
        <v>46324.554708333337</v>
      </c>
      <c r="P87" s="28" t="str">
        <f t="shared" si="3"/>
        <v>Low</v>
      </c>
    </row>
    <row r="88" spans="1:16" ht="15" thickBot="1">
      <c r="A88" s="5" t="s">
        <v>215</v>
      </c>
      <c r="B88" s="3">
        <v>45515</v>
      </c>
      <c r="C88" s="2" t="s">
        <v>86</v>
      </c>
      <c r="D88" s="2" t="s">
        <v>87</v>
      </c>
      <c r="E88" s="2" t="s">
        <v>105</v>
      </c>
      <c r="F88" s="2" t="s">
        <v>106</v>
      </c>
      <c r="G88" s="2" t="s">
        <v>46</v>
      </c>
      <c r="H88" s="20">
        <v>5</v>
      </c>
      <c r="I88" s="13">
        <v>299.99</v>
      </c>
      <c r="J88" s="2" t="s">
        <v>26</v>
      </c>
      <c r="K88" s="2" t="s">
        <v>40</v>
      </c>
      <c r="L88" s="2" t="s">
        <v>22</v>
      </c>
      <c r="M88" s="3">
        <v>44965</v>
      </c>
      <c r="N88" s="17">
        <v>1499.95</v>
      </c>
      <c r="O88" s="27">
        <f t="shared" ca="1" si="2"/>
        <v>46324.554708333337</v>
      </c>
      <c r="P88" s="28" t="str">
        <f t="shared" si="3"/>
        <v>High</v>
      </c>
    </row>
    <row r="89" spans="1:16" ht="15" thickBot="1">
      <c r="A89" s="5" t="s">
        <v>216</v>
      </c>
      <c r="B89" s="3">
        <v>45517</v>
      </c>
      <c r="C89" s="2" t="s">
        <v>182</v>
      </c>
      <c r="D89" s="2" t="s">
        <v>183</v>
      </c>
      <c r="E89" s="2" t="s">
        <v>52</v>
      </c>
      <c r="F89" s="2" t="s">
        <v>53</v>
      </c>
      <c r="G89" s="2" t="s">
        <v>19</v>
      </c>
      <c r="H89" s="20">
        <v>4</v>
      </c>
      <c r="I89" s="13">
        <v>149.99</v>
      </c>
      <c r="J89" s="2" t="s">
        <v>57</v>
      </c>
      <c r="K89" s="2" t="s">
        <v>35</v>
      </c>
      <c r="L89" s="2" t="s">
        <v>27</v>
      </c>
      <c r="M89" s="3">
        <v>44820</v>
      </c>
      <c r="N89" s="17">
        <v>599.96</v>
      </c>
      <c r="O89" s="27">
        <f t="shared" ca="1" si="2"/>
        <v>46324.554708333337</v>
      </c>
      <c r="P89" s="28" t="str">
        <f t="shared" si="3"/>
        <v>Medium</v>
      </c>
    </row>
    <row r="90" spans="1:16" ht="15" thickBot="1">
      <c r="A90" s="5" t="s">
        <v>217</v>
      </c>
      <c r="B90" s="3">
        <v>45517</v>
      </c>
      <c r="C90" s="2" t="s">
        <v>185</v>
      </c>
      <c r="D90" s="2" t="s">
        <v>186</v>
      </c>
      <c r="E90" s="2" t="s">
        <v>17</v>
      </c>
      <c r="F90" s="2" t="s">
        <v>18</v>
      </c>
      <c r="G90" s="2" t="s">
        <v>19</v>
      </c>
      <c r="H90" s="20">
        <v>5</v>
      </c>
      <c r="I90" s="13">
        <v>249.99</v>
      </c>
      <c r="J90" s="2" t="s">
        <v>34</v>
      </c>
      <c r="K90" s="2" t="s">
        <v>63</v>
      </c>
      <c r="L90" s="2" t="s">
        <v>27</v>
      </c>
      <c r="M90" s="3">
        <v>44782</v>
      </c>
      <c r="N90" s="17">
        <v>1249.95</v>
      </c>
      <c r="O90" s="27">
        <f t="shared" ca="1" si="2"/>
        <v>46324.554708333337</v>
      </c>
      <c r="P90" s="28" t="str">
        <f t="shared" si="3"/>
        <v>High</v>
      </c>
    </row>
    <row r="91" spans="1:16" ht="15" thickBot="1">
      <c r="A91" s="5" t="s">
        <v>218</v>
      </c>
      <c r="B91" s="3">
        <v>45517</v>
      </c>
      <c r="C91" s="2" t="s">
        <v>65</v>
      </c>
      <c r="D91" s="2" t="s">
        <v>66</v>
      </c>
      <c r="E91" s="2" t="s">
        <v>17</v>
      </c>
      <c r="F91" s="2" t="s">
        <v>18</v>
      </c>
      <c r="G91" s="2" t="s">
        <v>19</v>
      </c>
      <c r="H91" s="20">
        <v>3</v>
      </c>
      <c r="I91" s="13">
        <v>249.99</v>
      </c>
      <c r="J91" s="2" t="s">
        <v>34</v>
      </c>
      <c r="K91" s="2" t="s">
        <v>40</v>
      </c>
      <c r="L91" s="2" t="s">
        <v>27</v>
      </c>
      <c r="M91" s="3">
        <v>44465</v>
      </c>
      <c r="N91" s="17">
        <v>749.97</v>
      </c>
      <c r="O91" s="27">
        <f t="shared" ca="1" si="2"/>
        <v>46324.554708333337</v>
      </c>
      <c r="P91" s="28" t="str">
        <f t="shared" si="3"/>
        <v>Medium</v>
      </c>
    </row>
    <row r="92" spans="1:16" ht="15" thickBot="1">
      <c r="A92" s="5" t="s">
        <v>219</v>
      </c>
      <c r="B92" s="3">
        <v>45517</v>
      </c>
      <c r="C92" s="2" t="s">
        <v>38</v>
      </c>
      <c r="D92" s="2" t="s">
        <v>39</v>
      </c>
      <c r="E92" s="2" t="s">
        <v>126</v>
      </c>
      <c r="F92" s="2" t="s">
        <v>127</v>
      </c>
      <c r="G92" s="2" t="s">
        <v>46</v>
      </c>
      <c r="H92" s="20">
        <v>4</v>
      </c>
      <c r="I92" s="13">
        <v>199.99</v>
      </c>
      <c r="J92" s="2" t="s">
        <v>20</v>
      </c>
      <c r="K92" s="2" t="s">
        <v>40</v>
      </c>
      <c r="L92" s="2" t="s">
        <v>36</v>
      </c>
      <c r="M92" s="3">
        <v>44458</v>
      </c>
      <c r="N92" s="17">
        <v>799.96</v>
      </c>
      <c r="O92" s="27">
        <f t="shared" ca="1" si="2"/>
        <v>46324.554708333337</v>
      </c>
      <c r="P92" s="28" t="str">
        <f t="shared" si="3"/>
        <v>Medium</v>
      </c>
    </row>
    <row r="93" spans="1:16" ht="15" thickBot="1">
      <c r="A93" s="5" t="s">
        <v>220</v>
      </c>
      <c r="B93" s="3">
        <v>45519</v>
      </c>
      <c r="C93" s="2" t="s">
        <v>158</v>
      </c>
      <c r="D93" s="2" t="s">
        <v>159</v>
      </c>
      <c r="E93" s="2" t="s">
        <v>126</v>
      </c>
      <c r="F93" s="2" t="s">
        <v>127</v>
      </c>
      <c r="G93" s="2" t="s">
        <v>46</v>
      </c>
      <c r="H93" s="20">
        <v>5</v>
      </c>
      <c r="I93" s="13">
        <v>199.99</v>
      </c>
      <c r="J93" s="2" t="s">
        <v>20</v>
      </c>
      <c r="K93" s="2" t="s">
        <v>40</v>
      </c>
      <c r="L93" s="2" t="s">
        <v>27</v>
      </c>
      <c r="M93" s="3">
        <v>44991</v>
      </c>
      <c r="N93" s="17">
        <v>999.95</v>
      </c>
      <c r="O93" s="27">
        <f t="shared" ca="1" si="2"/>
        <v>46324.554708333337</v>
      </c>
      <c r="P93" s="28" t="str">
        <f t="shared" si="3"/>
        <v>Medium</v>
      </c>
    </row>
    <row r="94" spans="1:16" ht="15" thickBot="1">
      <c r="A94" s="5" t="s">
        <v>221</v>
      </c>
      <c r="B94" s="3">
        <v>45522</v>
      </c>
      <c r="C94" s="2" t="s">
        <v>86</v>
      </c>
      <c r="D94" s="2" t="s">
        <v>87</v>
      </c>
      <c r="E94" s="2" t="s">
        <v>117</v>
      </c>
      <c r="F94" s="2" t="s">
        <v>118</v>
      </c>
      <c r="G94" s="2" t="s">
        <v>19</v>
      </c>
      <c r="H94" s="20">
        <v>2</v>
      </c>
      <c r="I94" s="13">
        <v>89.99</v>
      </c>
      <c r="J94" s="2" t="s">
        <v>20</v>
      </c>
      <c r="K94" s="2" t="s">
        <v>63</v>
      </c>
      <c r="L94" s="2" t="s">
        <v>27</v>
      </c>
      <c r="M94" s="3">
        <v>44972</v>
      </c>
      <c r="N94" s="17">
        <v>179.98</v>
      </c>
      <c r="O94" s="27">
        <f t="shared" ca="1" si="2"/>
        <v>46324.554708333337</v>
      </c>
      <c r="P94" s="28" t="str">
        <f t="shared" si="3"/>
        <v>Low</v>
      </c>
    </row>
    <row r="95" spans="1:16" ht="15" thickBot="1">
      <c r="A95" s="5" t="s">
        <v>222</v>
      </c>
      <c r="B95" s="3">
        <v>45523</v>
      </c>
      <c r="C95" s="2" t="s">
        <v>196</v>
      </c>
      <c r="D95" s="2" t="s">
        <v>197</v>
      </c>
      <c r="E95" s="2" t="s">
        <v>61</v>
      </c>
      <c r="F95" s="2" t="s">
        <v>62</v>
      </c>
      <c r="G95" s="2" t="s">
        <v>19</v>
      </c>
      <c r="H95" s="20">
        <v>5</v>
      </c>
      <c r="I95" s="13">
        <v>899.99</v>
      </c>
      <c r="J95" s="2" t="s">
        <v>57</v>
      </c>
      <c r="K95" s="2" t="s">
        <v>63</v>
      </c>
      <c r="L95" s="2" t="s">
        <v>22</v>
      </c>
      <c r="M95" s="3">
        <v>44526</v>
      </c>
      <c r="N95" s="17">
        <v>4499.95</v>
      </c>
      <c r="O95" s="27">
        <f t="shared" ca="1" si="2"/>
        <v>46324.554708333337</v>
      </c>
      <c r="P95" s="28" t="str">
        <f t="shared" si="3"/>
        <v>High</v>
      </c>
    </row>
    <row r="96" spans="1:16" ht="15" thickBot="1">
      <c r="A96" s="5" t="s">
        <v>223</v>
      </c>
      <c r="B96" s="3">
        <v>45523</v>
      </c>
      <c r="C96" s="2" t="s">
        <v>108</v>
      </c>
      <c r="D96" s="2" t="s">
        <v>109</v>
      </c>
      <c r="E96" s="2" t="s">
        <v>52</v>
      </c>
      <c r="F96" s="2" t="s">
        <v>53</v>
      </c>
      <c r="G96" s="2" t="s">
        <v>19</v>
      </c>
      <c r="H96" s="20">
        <v>3</v>
      </c>
      <c r="I96" s="13">
        <v>149.99</v>
      </c>
      <c r="J96" s="2" t="s">
        <v>34</v>
      </c>
      <c r="K96" s="2" t="s">
        <v>63</v>
      </c>
      <c r="L96" s="2" t="s">
        <v>22</v>
      </c>
      <c r="M96" s="3">
        <v>44574</v>
      </c>
      <c r="N96" s="17">
        <v>449.97</v>
      </c>
      <c r="O96" s="27">
        <f t="shared" ca="1" si="2"/>
        <v>46324.554708333337</v>
      </c>
      <c r="P96" s="28" t="str">
        <f t="shared" si="3"/>
        <v>Low</v>
      </c>
    </row>
    <row r="97" spans="1:16" ht="15" thickBot="1">
      <c r="A97" s="5" t="s">
        <v>224</v>
      </c>
      <c r="B97" s="3">
        <v>45526</v>
      </c>
      <c r="C97" s="2" t="s">
        <v>102</v>
      </c>
      <c r="D97" s="2" t="s">
        <v>103</v>
      </c>
      <c r="E97" s="2" t="s">
        <v>44</v>
      </c>
      <c r="F97" s="2" t="s">
        <v>45</v>
      </c>
      <c r="G97" s="2" t="s">
        <v>46</v>
      </c>
      <c r="H97" s="20">
        <v>5</v>
      </c>
      <c r="I97" s="13">
        <v>149.99</v>
      </c>
      <c r="J97" s="2" t="s">
        <v>26</v>
      </c>
      <c r="K97" s="2" t="s">
        <v>21</v>
      </c>
      <c r="L97" s="2" t="s">
        <v>22</v>
      </c>
      <c r="M97" s="3">
        <v>45310</v>
      </c>
      <c r="N97" s="17">
        <v>749.95</v>
      </c>
      <c r="O97" s="27">
        <f t="shared" ca="1" si="2"/>
        <v>46324.554708333337</v>
      </c>
      <c r="P97" s="28" t="str">
        <f t="shared" si="3"/>
        <v>Medium</v>
      </c>
    </row>
    <row r="98" spans="1:16" ht="15" thickBot="1">
      <c r="A98" s="5" t="s">
        <v>225</v>
      </c>
      <c r="B98" s="3">
        <v>45528</v>
      </c>
      <c r="C98" s="2" t="s">
        <v>226</v>
      </c>
      <c r="D98" s="2" t="s">
        <v>227</v>
      </c>
      <c r="E98" s="2" t="s">
        <v>114</v>
      </c>
      <c r="F98" s="2" t="s">
        <v>115</v>
      </c>
      <c r="G98" s="2" t="s">
        <v>33</v>
      </c>
      <c r="H98" s="20">
        <v>3</v>
      </c>
      <c r="I98" s="13">
        <v>79.989999999999995</v>
      </c>
      <c r="J98" s="2" t="s">
        <v>20</v>
      </c>
      <c r="K98" s="2" t="s">
        <v>21</v>
      </c>
      <c r="L98" s="2" t="s">
        <v>27</v>
      </c>
      <c r="M98" s="3">
        <v>44779</v>
      </c>
      <c r="N98" s="17">
        <v>239.97</v>
      </c>
      <c r="O98" s="27">
        <f t="shared" ca="1" si="2"/>
        <v>46324.554708333337</v>
      </c>
      <c r="P98" s="28" t="str">
        <f t="shared" si="3"/>
        <v>Low</v>
      </c>
    </row>
    <row r="99" spans="1:16" ht="15" thickBot="1">
      <c r="A99" s="5" t="s">
        <v>228</v>
      </c>
      <c r="B99" s="3">
        <v>45528</v>
      </c>
      <c r="C99" s="2" t="s">
        <v>144</v>
      </c>
      <c r="D99" s="2" t="s">
        <v>145</v>
      </c>
      <c r="E99" s="2" t="s">
        <v>17</v>
      </c>
      <c r="F99" s="2" t="s">
        <v>18</v>
      </c>
      <c r="G99" s="2" t="s">
        <v>19</v>
      </c>
      <c r="H99" s="20">
        <v>2</v>
      </c>
      <c r="I99" s="13">
        <v>249.99</v>
      </c>
      <c r="J99" s="2" t="s">
        <v>20</v>
      </c>
      <c r="K99" s="2" t="s">
        <v>35</v>
      </c>
      <c r="L99" s="2" t="s">
        <v>36</v>
      </c>
      <c r="M99" s="3">
        <v>44572</v>
      </c>
      <c r="N99" s="17">
        <v>499.98</v>
      </c>
      <c r="O99" s="27">
        <f t="shared" ca="1" si="2"/>
        <v>46324.554708333337</v>
      </c>
      <c r="P99" s="28" t="str">
        <f t="shared" si="3"/>
        <v>Low</v>
      </c>
    </row>
    <row r="100" spans="1:16" ht="15" thickBot="1">
      <c r="A100" s="5" t="s">
        <v>229</v>
      </c>
      <c r="B100" s="3">
        <v>45532</v>
      </c>
      <c r="C100" s="2" t="s">
        <v>196</v>
      </c>
      <c r="D100" s="2" t="s">
        <v>197</v>
      </c>
      <c r="E100" s="2" t="s">
        <v>80</v>
      </c>
      <c r="F100" s="2" t="s">
        <v>81</v>
      </c>
      <c r="G100" s="2" t="s">
        <v>19</v>
      </c>
      <c r="H100" s="20">
        <v>1</v>
      </c>
      <c r="I100" s="13">
        <v>699.99</v>
      </c>
      <c r="J100" s="2" t="s">
        <v>20</v>
      </c>
      <c r="K100" s="2" t="s">
        <v>21</v>
      </c>
      <c r="L100" s="2" t="s">
        <v>27</v>
      </c>
      <c r="M100" s="3">
        <v>44497</v>
      </c>
      <c r="N100" s="17">
        <v>699.99</v>
      </c>
      <c r="O100" s="27">
        <f t="shared" ca="1" si="2"/>
        <v>46324.554708333337</v>
      </c>
      <c r="P100" s="28" t="str">
        <f t="shared" si="3"/>
        <v>Medium</v>
      </c>
    </row>
    <row r="101" spans="1:16" ht="15" thickBot="1">
      <c r="A101" s="5" t="s">
        <v>230</v>
      </c>
      <c r="B101" s="3">
        <v>45532</v>
      </c>
      <c r="C101" s="2" t="s">
        <v>231</v>
      </c>
      <c r="D101" s="2" t="s">
        <v>232</v>
      </c>
      <c r="E101" s="2" t="s">
        <v>52</v>
      </c>
      <c r="F101" s="2" t="s">
        <v>53</v>
      </c>
      <c r="G101" s="2" t="s">
        <v>19</v>
      </c>
      <c r="H101" s="20">
        <v>3</v>
      </c>
      <c r="I101" s="13">
        <v>149.99</v>
      </c>
      <c r="J101" s="2" t="s">
        <v>20</v>
      </c>
      <c r="K101" s="2" t="s">
        <v>50</v>
      </c>
      <c r="L101" s="2" t="s">
        <v>27</v>
      </c>
      <c r="M101" s="3">
        <v>45212</v>
      </c>
      <c r="N101" s="17">
        <v>449.97</v>
      </c>
      <c r="O101" s="27">
        <f t="shared" ca="1" si="2"/>
        <v>46324.554708333337</v>
      </c>
      <c r="P101" s="28" t="str">
        <f t="shared" si="3"/>
        <v>Low</v>
      </c>
    </row>
    <row r="102" spans="1:16" ht="15" thickBot="1">
      <c r="A102" s="5" t="s">
        <v>233</v>
      </c>
      <c r="B102" s="3">
        <v>45534</v>
      </c>
      <c r="C102" s="2" t="s">
        <v>234</v>
      </c>
      <c r="D102" s="2" t="s">
        <v>235</v>
      </c>
      <c r="E102" s="2" t="s">
        <v>80</v>
      </c>
      <c r="F102" s="2" t="s">
        <v>81</v>
      </c>
      <c r="G102" s="2" t="s">
        <v>19</v>
      </c>
      <c r="H102" s="20">
        <v>2</v>
      </c>
      <c r="I102" s="13">
        <v>699.99</v>
      </c>
      <c r="J102" s="2" t="s">
        <v>26</v>
      </c>
      <c r="K102" s="2" t="s">
        <v>40</v>
      </c>
      <c r="L102" s="2" t="s">
        <v>27</v>
      </c>
      <c r="M102" s="3">
        <v>44421</v>
      </c>
      <c r="N102" s="17">
        <v>1399.98</v>
      </c>
      <c r="O102" s="27">
        <f t="shared" ca="1" si="2"/>
        <v>46324.554708333337</v>
      </c>
      <c r="P102" s="28" t="str">
        <f t="shared" si="3"/>
        <v>High</v>
      </c>
    </row>
    <row r="103" spans="1:16" ht="15" thickBot="1">
      <c r="A103" s="5" t="s">
        <v>236</v>
      </c>
      <c r="B103" s="3">
        <v>45537</v>
      </c>
      <c r="C103" s="2" t="s">
        <v>231</v>
      </c>
      <c r="D103" s="2" t="s">
        <v>232</v>
      </c>
      <c r="E103" s="2" t="s">
        <v>17</v>
      </c>
      <c r="F103" s="2" t="s">
        <v>18</v>
      </c>
      <c r="G103" s="2" t="s">
        <v>19</v>
      </c>
      <c r="H103" s="20">
        <v>1</v>
      </c>
      <c r="I103" s="13">
        <v>249.99</v>
      </c>
      <c r="J103" s="2" t="s">
        <v>26</v>
      </c>
      <c r="K103" s="2" t="s">
        <v>50</v>
      </c>
      <c r="L103" s="2" t="s">
        <v>27</v>
      </c>
      <c r="M103" s="3">
        <v>44685</v>
      </c>
      <c r="N103" s="17">
        <v>249.99</v>
      </c>
      <c r="O103" s="27">
        <f t="shared" ca="1" si="2"/>
        <v>46324.554708333337</v>
      </c>
      <c r="P103" s="28" t="str">
        <f t="shared" si="3"/>
        <v>Low</v>
      </c>
    </row>
    <row r="104" spans="1:16" ht="15" thickBot="1">
      <c r="A104" s="5" t="s">
        <v>237</v>
      </c>
      <c r="B104" s="3">
        <v>45537</v>
      </c>
      <c r="C104" s="2" t="s">
        <v>15</v>
      </c>
      <c r="D104" s="2" t="s">
        <v>16</v>
      </c>
      <c r="E104" s="2" t="s">
        <v>17</v>
      </c>
      <c r="F104" s="2" t="s">
        <v>18</v>
      </c>
      <c r="G104" s="2" t="s">
        <v>19</v>
      </c>
      <c r="H104" s="20">
        <v>1</v>
      </c>
      <c r="I104" s="13">
        <v>249.99</v>
      </c>
      <c r="J104" s="2" t="s">
        <v>57</v>
      </c>
      <c r="K104" s="2" t="s">
        <v>40</v>
      </c>
      <c r="L104" s="2" t="s">
        <v>27</v>
      </c>
      <c r="M104" s="3">
        <v>45332</v>
      </c>
      <c r="N104" s="17">
        <v>249.99</v>
      </c>
      <c r="O104" s="27">
        <f t="shared" ca="1" si="2"/>
        <v>46324.554708333337</v>
      </c>
      <c r="P104" s="28" t="str">
        <f t="shared" si="3"/>
        <v>Low</v>
      </c>
    </row>
    <row r="105" spans="1:16" ht="15" thickBot="1">
      <c r="A105" s="5" t="s">
        <v>238</v>
      </c>
      <c r="B105" s="3">
        <v>45538</v>
      </c>
      <c r="C105" s="2" t="s">
        <v>226</v>
      </c>
      <c r="D105" s="2" t="s">
        <v>227</v>
      </c>
      <c r="E105" s="2" t="s">
        <v>80</v>
      </c>
      <c r="F105" s="2" t="s">
        <v>81</v>
      </c>
      <c r="G105" s="2" t="s">
        <v>19</v>
      </c>
      <c r="H105" s="20">
        <v>2</v>
      </c>
      <c r="I105" s="13">
        <v>699.99</v>
      </c>
      <c r="J105" s="2" t="s">
        <v>57</v>
      </c>
      <c r="K105" s="2" t="s">
        <v>21</v>
      </c>
      <c r="L105" s="2" t="s">
        <v>27</v>
      </c>
      <c r="M105" s="3">
        <v>44870</v>
      </c>
      <c r="N105" s="17">
        <v>1399.98</v>
      </c>
      <c r="O105" s="27">
        <f t="shared" ca="1" si="2"/>
        <v>46324.554708333337</v>
      </c>
      <c r="P105" s="28" t="str">
        <f t="shared" si="3"/>
        <v>High</v>
      </c>
    </row>
    <row r="106" spans="1:16" ht="15" thickBot="1">
      <c r="A106" s="5" t="s">
        <v>239</v>
      </c>
      <c r="B106" s="3">
        <v>45541</v>
      </c>
      <c r="C106" s="2" t="s">
        <v>138</v>
      </c>
      <c r="D106" s="2" t="s">
        <v>139</v>
      </c>
      <c r="E106" s="2" t="s">
        <v>31</v>
      </c>
      <c r="F106" s="2" t="s">
        <v>32</v>
      </c>
      <c r="G106" s="2" t="s">
        <v>33</v>
      </c>
      <c r="H106" s="20">
        <v>3</v>
      </c>
      <c r="I106" s="13">
        <v>59.99</v>
      </c>
      <c r="J106" s="2" t="s">
        <v>26</v>
      </c>
      <c r="K106" s="2" t="s">
        <v>21</v>
      </c>
      <c r="L106" s="2" t="s">
        <v>27</v>
      </c>
      <c r="M106" s="3">
        <v>44717</v>
      </c>
      <c r="N106" s="17">
        <v>179.97</v>
      </c>
      <c r="O106" s="27">
        <f t="shared" ca="1" si="2"/>
        <v>46324.554708333337</v>
      </c>
      <c r="P106" s="28" t="str">
        <f t="shared" si="3"/>
        <v>Low</v>
      </c>
    </row>
    <row r="107" spans="1:16" ht="15" thickBot="1">
      <c r="A107" s="5" t="s">
        <v>240</v>
      </c>
      <c r="B107" s="3">
        <v>45544</v>
      </c>
      <c r="C107" s="2" t="s">
        <v>132</v>
      </c>
      <c r="D107" s="2" t="s">
        <v>133</v>
      </c>
      <c r="E107" s="2" t="s">
        <v>31</v>
      </c>
      <c r="F107" s="2" t="s">
        <v>32</v>
      </c>
      <c r="G107" s="2" t="s">
        <v>33</v>
      </c>
      <c r="H107" s="20">
        <v>3</v>
      </c>
      <c r="I107" s="13">
        <v>59.99</v>
      </c>
      <c r="J107" s="2" t="s">
        <v>34</v>
      </c>
      <c r="K107" s="2" t="s">
        <v>63</v>
      </c>
      <c r="L107" s="2" t="s">
        <v>36</v>
      </c>
      <c r="M107" s="3">
        <v>44748</v>
      </c>
      <c r="N107" s="17">
        <v>179.97</v>
      </c>
      <c r="O107" s="27">
        <f t="shared" ca="1" si="2"/>
        <v>46324.554708333337</v>
      </c>
      <c r="P107" s="28" t="str">
        <f t="shared" si="3"/>
        <v>Low</v>
      </c>
    </row>
    <row r="108" spans="1:16" ht="15" thickBot="1">
      <c r="A108" s="5" t="s">
        <v>241</v>
      </c>
      <c r="B108" s="3">
        <v>45544</v>
      </c>
      <c r="C108" s="2" t="s">
        <v>141</v>
      </c>
      <c r="D108" s="2" t="s">
        <v>142</v>
      </c>
      <c r="E108" s="2" t="s">
        <v>114</v>
      </c>
      <c r="F108" s="2" t="s">
        <v>115</v>
      </c>
      <c r="G108" s="2" t="s">
        <v>33</v>
      </c>
      <c r="H108" s="20">
        <v>4</v>
      </c>
      <c r="I108" s="13">
        <v>79.989999999999995</v>
      </c>
      <c r="J108" s="2" t="s">
        <v>20</v>
      </c>
      <c r="K108" s="2" t="s">
        <v>40</v>
      </c>
      <c r="L108" s="2" t="s">
        <v>22</v>
      </c>
      <c r="M108" s="3">
        <v>44530</v>
      </c>
      <c r="N108" s="17">
        <v>319.95999999999998</v>
      </c>
      <c r="O108" s="27">
        <f t="shared" ca="1" si="2"/>
        <v>46324.554708333337</v>
      </c>
      <c r="P108" s="28" t="str">
        <f t="shared" si="3"/>
        <v>Low</v>
      </c>
    </row>
    <row r="109" spans="1:16" ht="15" thickBot="1">
      <c r="A109" s="5" t="s">
        <v>242</v>
      </c>
      <c r="B109" s="3">
        <v>45545</v>
      </c>
      <c r="C109" s="2" t="s">
        <v>55</v>
      </c>
      <c r="D109" s="2" t="s">
        <v>56</v>
      </c>
      <c r="E109" s="2" t="s">
        <v>114</v>
      </c>
      <c r="F109" s="2" t="s">
        <v>115</v>
      </c>
      <c r="G109" s="2" t="s">
        <v>33</v>
      </c>
      <c r="H109" s="20">
        <v>1</v>
      </c>
      <c r="I109" s="13">
        <v>79.989999999999995</v>
      </c>
      <c r="J109" s="2" t="s">
        <v>20</v>
      </c>
      <c r="K109" s="2" t="s">
        <v>50</v>
      </c>
      <c r="L109" s="2" t="s">
        <v>22</v>
      </c>
      <c r="M109" s="3">
        <v>44693</v>
      </c>
      <c r="N109" s="17">
        <v>79.989999999999995</v>
      </c>
      <c r="O109" s="27">
        <f t="shared" ca="1" si="2"/>
        <v>46324.554708333337</v>
      </c>
      <c r="P109" s="28" t="str">
        <f t="shared" si="3"/>
        <v>Low</v>
      </c>
    </row>
    <row r="110" spans="1:16" ht="15" thickBot="1">
      <c r="A110" s="5" t="s">
        <v>243</v>
      </c>
      <c r="B110" s="3">
        <v>45547</v>
      </c>
      <c r="C110" s="2" t="s">
        <v>48</v>
      </c>
      <c r="D110" s="2" t="s">
        <v>49</v>
      </c>
      <c r="E110" s="2" t="s">
        <v>105</v>
      </c>
      <c r="F110" s="2" t="s">
        <v>106</v>
      </c>
      <c r="G110" s="2" t="s">
        <v>46</v>
      </c>
      <c r="H110" s="20">
        <v>3</v>
      </c>
      <c r="I110" s="13">
        <v>299.99</v>
      </c>
      <c r="J110" s="2" t="s">
        <v>26</v>
      </c>
      <c r="K110" s="2" t="s">
        <v>21</v>
      </c>
      <c r="L110" s="2" t="s">
        <v>27</v>
      </c>
      <c r="M110" s="3">
        <v>44494</v>
      </c>
      <c r="N110" s="17">
        <v>899.97</v>
      </c>
      <c r="O110" s="27">
        <f t="shared" ca="1" si="2"/>
        <v>46324.554708333337</v>
      </c>
      <c r="P110" s="28" t="str">
        <f t="shared" si="3"/>
        <v>Medium</v>
      </c>
    </row>
    <row r="111" spans="1:16" ht="15" thickBot="1">
      <c r="A111" s="5" t="s">
        <v>244</v>
      </c>
      <c r="B111" s="3">
        <v>45548</v>
      </c>
      <c r="C111" s="2" t="s">
        <v>38</v>
      </c>
      <c r="D111" s="2" t="s">
        <v>39</v>
      </c>
      <c r="E111" s="2" t="s">
        <v>117</v>
      </c>
      <c r="F111" s="2" t="s">
        <v>118</v>
      </c>
      <c r="G111" s="2" t="s">
        <v>19</v>
      </c>
      <c r="H111" s="20">
        <v>2</v>
      </c>
      <c r="I111" s="13">
        <v>89.99</v>
      </c>
      <c r="J111" s="2" t="s">
        <v>26</v>
      </c>
      <c r="K111" s="2" t="s">
        <v>35</v>
      </c>
      <c r="L111" s="2" t="s">
        <v>27</v>
      </c>
      <c r="M111" s="3">
        <v>44641</v>
      </c>
      <c r="N111" s="17">
        <v>179.98</v>
      </c>
      <c r="O111" s="27">
        <f t="shared" ca="1" si="2"/>
        <v>46324.554708333337</v>
      </c>
      <c r="P111" s="28" t="str">
        <f t="shared" si="3"/>
        <v>Low</v>
      </c>
    </row>
    <row r="112" spans="1:16" ht="15" thickBot="1">
      <c r="A112" s="5" t="s">
        <v>245</v>
      </c>
      <c r="B112" s="3">
        <v>45550</v>
      </c>
      <c r="C112" s="2" t="s">
        <v>246</v>
      </c>
      <c r="D112" s="2" t="s">
        <v>247</v>
      </c>
      <c r="E112" s="2" t="s">
        <v>52</v>
      </c>
      <c r="F112" s="2" t="s">
        <v>53</v>
      </c>
      <c r="G112" s="2" t="s">
        <v>19</v>
      </c>
      <c r="H112" s="20">
        <v>4</v>
      </c>
      <c r="I112" s="13">
        <v>149.99</v>
      </c>
      <c r="J112" s="2" t="s">
        <v>20</v>
      </c>
      <c r="K112" s="2" t="s">
        <v>40</v>
      </c>
      <c r="L112" s="2" t="s">
        <v>22</v>
      </c>
      <c r="M112" s="3">
        <v>44909</v>
      </c>
      <c r="N112" s="17">
        <v>599.96</v>
      </c>
      <c r="O112" s="27">
        <f t="shared" ca="1" si="2"/>
        <v>46324.554708333337</v>
      </c>
      <c r="P112" s="28" t="str">
        <f t="shared" si="3"/>
        <v>Medium</v>
      </c>
    </row>
    <row r="113" spans="1:16" ht="15" thickBot="1">
      <c r="A113" s="5" t="s">
        <v>248</v>
      </c>
      <c r="B113" s="3">
        <v>45551</v>
      </c>
      <c r="C113" s="2" t="s">
        <v>65</v>
      </c>
      <c r="D113" s="2" t="s">
        <v>66</v>
      </c>
      <c r="E113" s="2" t="s">
        <v>17</v>
      </c>
      <c r="F113" s="2" t="s">
        <v>18</v>
      </c>
      <c r="G113" s="2" t="s">
        <v>19</v>
      </c>
      <c r="H113" s="20">
        <v>2</v>
      </c>
      <c r="I113" s="13">
        <v>249.99</v>
      </c>
      <c r="J113" s="2" t="s">
        <v>34</v>
      </c>
      <c r="K113" s="2" t="s">
        <v>35</v>
      </c>
      <c r="L113" s="2" t="s">
        <v>22</v>
      </c>
      <c r="M113" s="3">
        <v>44993</v>
      </c>
      <c r="N113" s="17">
        <v>499.98</v>
      </c>
      <c r="O113" s="27">
        <f t="shared" ca="1" si="2"/>
        <v>46324.554708333337</v>
      </c>
      <c r="P113" s="28" t="str">
        <f t="shared" si="3"/>
        <v>Low</v>
      </c>
    </row>
    <row r="114" spans="1:16" ht="15" thickBot="1">
      <c r="A114" s="5" t="s">
        <v>249</v>
      </c>
      <c r="B114" s="3">
        <v>45551</v>
      </c>
      <c r="C114" s="2" t="s">
        <v>154</v>
      </c>
      <c r="D114" s="2" t="s">
        <v>155</v>
      </c>
      <c r="E114" s="2" t="s">
        <v>126</v>
      </c>
      <c r="F114" s="2" t="s">
        <v>127</v>
      </c>
      <c r="G114" s="2" t="s">
        <v>46</v>
      </c>
      <c r="H114" s="20">
        <v>4</v>
      </c>
      <c r="I114" s="13">
        <v>199.99</v>
      </c>
      <c r="J114" s="2" t="s">
        <v>57</v>
      </c>
      <c r="K114" s="2" t="s">
        <v>63</v>
      </c>
      <c r="L114" s="2" t="s">
        <v>22</v>
      </c>
      <c r="M114" s="3">
        <v>44458</v>
      </c>
      <c r="N114" s="17">
        <v>799.96</v>
      </c>
      <c r="O114" s="27">
        <f t="shared" ca="1" si="2"/>
        <v>46324.554708333337</v>
      </c>
      <c r="P114" s="28" t="str">
        <f t="shared" si="3"/>
        <v>Medium</v>
      </c>
    </row>
    <row r="115" spans="1:16" ht="15" thickBot="1">
      <c r="A115" s="5" t="s">
        <v>250</v>
      </c>
      <c r="B115" s="3">
        <v>45554</v>
      </c>
      <c r="C115" s="2" t="s">
        <v>147</v>
      </c>
      <c r="D115" s="2" t="s">
        <v>148</v>
      </c>
      <c r="E115" s="2" t="s">
        <v>117</v>
      </c>
      <c r="F115" s="2" t="s">
        <v>118</v>
      </c>
      <c r="G115" s="2" t="s">
        <v>19</v>
      </c>
      <c r="H115" s="20">
        <v>5</v>
      </c>
      <c r="I115" s="13">
        <v>89.99</v>
      </c>
      <c r="J115" s="2" t="s">
        <v>26</v>
      </c>
      <c r="K115" s="2" t="s">
        <v>63</v>
      </c>
      <c r="L115" s="2" t="s">
        <v>27</v>
      </c>
      <c r="M115" s="3">
        <v>44446</v>
      </c>
      <c r="N115" s="17">
        <v>449.95</v>
      </c>
      <c r="O115" s="27">
        <f t="shared" ca="1" si="2"/>
        <v>46324.554708333337</v>
      </c>
      <c r="P115" s="28" t="str">
        <f t="shared" si="3"/>
        <v>Low</v>
      </c>
    </row>
    <row r="116" spans="1:16" ht="15" thickBot="1">
      <c r="A116" s="5" t="s">
        <v>251</v>
      </c>
      <c r="B116" s="3">
        <v>45554</v>
      </c>
      <c r="C116" s="2" t="s">
        <v>252</v>
      </c>
      <c r="D116" s="2" t="s">
        <v>253</v>
      </c>
      <c r="E116" s="2" t="s">
        <v>52</v>
      </c>
      <c r="F116" s="2" t="s">
        <v>53</v>
      </c>
      <c r="G116" s="2" t="s">
        <v>19</v>
      </c>
      <c r="H116" s="20">
        <v>1</v>
      </c>
      <c r="I116" s="13">
        <v>149.99</v>
      </c>
      <c r="J116" s="2" t="s">
        <v>34</v>
      </c>
      <c r="K116" s="2" t="s">
        <v>63</v>
      </c>
      <c r="L116" s="2" t="s">
        <v>36</v>
      </c>
      <c r="M116" s="3">
        <v>44482</v>
      </c>
      <c r="N116" s="17">
        <v>149.99</v>
      </c>
      <c r="O116" s="27">
        <f t="shared" ca="1" si="2"/>
        <v>46324.554708333337</v>
      </c>
      <c r="P116" s="28" t="str">
        <f t="shared" si="3"/>
        <v>Low</v>
      </c>
    </row>
    <row r="117" spans="1:16" ht="15" thickBot="1">
      <c r="A117" s="5" t="s">
        <v>254</v>
      </c>
      <c r="B117" s="3">
        <v>45554</v>
      </c>
      <c r="C117" s="2" t="s">
        <v>72</v>
      </c>
      <c r="D117" s="2" t="s">
        <v>73</v>
      </c>
      <c r="E117" s="2" t="s">
        <v>80</v>
      </c>
      <c r="F117" s="2" t="s">
        <v>81</v>
      </c>
      <c r="G117" s="2" t="s">
        <v>19</v>
      </c>
      <c r="H117" s="20">
        <v>4</v>
      </c>
      <c r="I117" s="13">
        <v>699.99</v>
      </c>
      <c r="J117" s="2" t="s">
        <v>34</v>
      </c>
      <c r="K117" s="2" t="s">
        <v>35</v>
      </c>
      <c r="L117" s="2" t="s">
        <v>22</v>
      </c>
      <c r="M117" s="3">
        <v>44618</v>
      </c>
      <c r="N117" s="17">
        <v>2799.96</v>
      </c>
      <c r="O117" s="27">
        <f t="shared" ca="1" si="2"/>
        <v>46324.554708333337</v>
      </c>
      <c r="P117" s="28" t="str">
        <f t="shared" si="3"/>
        <v>High</v>
      </c>
    </row>
    <row r="118" spans="1:16" ht="15" thickBot="1">
      <c r="A118" s="5" t="s">
        <v>255</v>
      </c>
      <c r="B118" s="3">
        <v>45559</v>
      </c>
      <c r="C118" s="2" t="s">
        <v>234</v>
      </c>
      <c r="D118" s="2" t="s">
        <v>235</v>
      </c>
      <c r="E118" s="2" t="s">
        <v>61</v>
      </c>
      <c r="F118" s="2" t="s">
        <v>62</v>
      </c>
      <c r="G118" s="2" t="s">
        <v>19</v>
      </c>
      <c r="H118" s="20">
        <v>3</v>
      </c>
      <c r="I118" s="13">
        <v>899.99</v>
      </c>
      <c r="J118" s="2" t="s">
        <v>26</v>
      </c>
      <c r="K118" s="2" t="s">
        <v>40</v>
      </c>
      <c r="L118" s="2" t="s">
        <v>36</v>
      </c>
      <c r="M118" s="3">
        <v>45157</v>
      </c>
      <c r="N118" s="17">
        <v>2699.97</v>
      </c>
      <c r="O118" s="27">
        <f t="shared" ca="1" si="2"/>
        <v>46324.554708333337</v>
      </c>
      <c r="P118" s="28" t="str">
        <f t="shared" si="3"/>
        <v>High</v>
      </c>
    </row>
    <row r="119" spans="1:16" ht="15" thickBot="1">
      <c r="A119" s="5" t="s">
        <v>256</v>
      </c>
      <c r="B119" s="3">
        <v>45560</v>
      </c>
      <c r="C119" s="2" t="s">
        <v>112</v>
      </c>
      <c r="D119" s="2" t="s">
        <v>113</v>
      </c>
      <c r="E119" s="2" t="s">
        <v>44</v>
      </c>
      <c r="F119" s="2" t="s">
        <v>45</v>
      </c>
      <c r="G119" s="2" t="s">
        <v>46</v>
      </c>
      <c r="H119" s="20">
        <v>3</v>
      </c>
      <c r="I119" s="13">
        <v>149.99</v>
      </c>
      <c r="J119" s="2" t="s">
        <v>34</v>
      </c>
      <c r="K119" s="2" t="s">
        <v>63</v>
      </c>
      <c r="L119" s="2" t="s">
        <v>22</v>
      </c>
      <c r="M119" s="3">
        <v>44886</v>
      </c>
      <c r="N119" s="17">
        <v>449.97</v>
      </c>
      <c r="O119" s="27">
        <f t="shared" ca="1" si="2"/>
        <v>46324.554708333337</v>
      </c>
      <c r="P119" s="28" t="str">
        <f t="shared" si="3"/>
        <v>Low</v>
      </c>
    </row>
    <row r="120" spans="1:16" ht="15" thickBot="1">
      <c r="A120" s="5" t="s">
        <v>257</v>
      </c>
      <c r="B120" s="3">
        <v>45563</v>
      </c>
      <c r="C120" s="2" t="s">
        <v>99</v>
      </c>
      <c r="D120" s="2" t="s">
        <v>100</v>
      </c>
      <c r="E120" s="2" t="s">
        <v>105</v>
      </c>
      <c r="F120" s="2" t="s">
        <v>106</v>
      </c>
      <c r="G120" s="2" t="s">
        <v>46</v>
      </c>
      <c r="H120" s="20">
        <v>2</v>
      </c>
      <c r="I120" s="13">
        <v>299.99</v>
      </c>
      <c r="J120" s="2" t="s">
        <v>57</v>
      </c>
      <c r="K120" s="2" t="s">
        <v>21</v>
      </c>
      <c r="L120" s="2" t="s">
        <v>22</v>
      </c>
      <c r="M120" s="3">
        <v>44569</v>
      </c>
      <c r="N120" s="17">
        <v>599.98</v>
      </c>
      <c r="O120" s="27">
        <f t="shared" ca="1" si="2"/>
        <v>46324.554708333337</v>
      </c>
      <c r="P120" s="28" t="str">
        <f t="shared" si="3"/>
        <v>Medium</v>
      </c>
    </row>
    <row r="121" spans="1:16" ht="15" thickBot="1">
      <c r="A121" s="5" t="s">
        <v>258</v>
      </c>
      <c r="B121" s="3">
        <v>45564</v>
      </c>
      <c r="C121" s="2" t="s">
        <v>259</v>
      </c>
      <c r="D121" s="2" t="s">
        <v>260</v>
      </c>
      <c r="E121" s="2" t="s">
        <v>126</v>
      </c>
      <c r="F121" s="2" t="s">
        <v>127</v>
      </c>
      <c r="G121" s="2" t="s">
        <v>46</v>
      </c>
      <c r="H121" s="20">
        <v>1</v>
      </c>
      <c r="I121" s="13">
        <v>199.99</v>
      </c>
      <c r="J121" s="2" t="s">
        <v>57</v>
      </c>
      <c r="K121" s="2" t="s">
        <v>63</v>
      </c>
      <c r="L121" s="2" t="s">
        <v>36</v>
      </c>
      <c r="M121" s="3">
        <v>44953</v>
      </c>
      <c r="N121" s="17">
        <v>199.99</v>
      </c>
      <c r="O121" s="27">
        <f t="shared" ca="1" si="2"/>
        <v>46324.554708333337</v>
      </c>
      <c r="P121" s="28" t="str">
        <f t="shared" si="3"/>
        <v>Low</v>
      </c>
    </row>
    <row r="122" spans="1:16" ht="15" thickBot="1">
      <c r="A122" s="5" t="s">
        <v>261</v>
      </c>
      <c r="B122" s="3">
        <v>45566</v>
      </c>
      <c r="C122" s="2" t="s">
        <v>42</v>
      </c>
      <c r="D122" s="2" t="s">
        <v>43</v>
      </c>
      <c r="E122" s="2" t="s">
        <v>105</v>
      </c>
      <c r="F122" s="2" t="s">
        <v>106</v>
      </c>
      <c r="G122" s="2" t="s">
        <v>46</v>
      </c>
      <c r="H122" s="20">
        <v>4</v>
      </c>
      <c r="I122" s="13">
        <v>299.99</v>
      </c>
      <c r="J122" s="2" t="s">
        <v>20</v>
      </c>
      <c r="K122" s="2" t="s">
        <v>21</v>
      </c>
      <c r="L122" s="2" t="s">
        <v>27</v>
      </c>
      <c r="M122" s="3">
        <v>44460</v>
      </c>
      <c r="N122" s="17">
        <v>1199.96</v>
      </c>
      <c r="O122" s="27">
        <f t="shared" ca="1" si="2"/>
        <v>46324.554708333337</v>
      </c>
      <c r="P122" s="28" t="str">
        <f t="shared" si="3"/>
        <v>High</v>
      </c>
    </row>
    <row r="123" spans="1:16" ht="15" thickBot="1">
      <c r="A123" s="5" t="s">
        <v>262</v>
      </c>
      <c r="B123" s="3">
        <v>45572</v>
      </c>
      <c r="C123" s="2" t="s">
        <v>89</v>
      </c>
      <c r="D123" s="2" t="s">
        <v>90</v>
      </c>
      <c r="E123" s="2" t="s">
        <v>31</v>
      </c>
      <c r="F123" s="2" t="s">
        <v>32</v>
      </c>
      <c r="G123" s="2" t="s">
        <v>33</v>
      </c>
      <c r="H123" s="20">
        <v>2</v>
      </c>
      <c r="I123" s="13">
        <v>59.99</v>
      </c>
      <c r="J123" s="2" t="s">
        <v>26</v>
      </c>
      <c r="K123" s="2" t="s">
        <v>21</v>
      </c>
      <c r="L123" s="2" t="s">
        <v>22</v>
      </c>
      <c r="M123" s="3">
        <v>44579</v>
      </c>
      <c r="N123" s="17">
        <v>119.98</v>
      </c>
      <c r="O123" s="27">
        <f t="shared" ca="1" si="2"/>
        <v>46324.554708333337</v>
      </c>
      <c r="P123" s="28" t="str">
        <f t="shared" si="3"/>
        <v>Low</v>
      </c>
    </row>
    <row r="124" spans="1:16" ht="15" thickBot="1">
      <c r="A124" s="5" t="s">
        <v>263</v>
      </c>
      <c r="B124" s="3">
        <v>45572</v>
      </c>
      <c r="C124" s="2" t="s">
        <v>234</v>
      </c>
      <c r="D124" s="2" t="s">
        <v>235</v>
      </c>
      <c r="E124" s="2" t="s">
        <v>52</v>
      </c>
      <c r="F124" s="2" t="s">
        <v>53</v>
      </c>
      <c r="G124" s="2" t="s">
        <v>19</v>
      </c>
      <c r="H124" s="20">
        <v>4</v>
      </c>
      <c r="I124" s="13">
        <v>149.99</v>
      </c>
      <c r="J124" s="2" t="s">
        <v>26</v>
      </c>
      <c r="K124" s="2" t="s">
        <v>40</v>
      </c>
      <c r="L124" s="2" t="s">
        <v>27</v>
      </c>
      <c r="M124" s="3">
        <v>45076</v>
      </c>
      <c r="N124" s="17">
        <v>599.96</v>
      </c>
      <c r="O124" s="27">
        <f t="shared" ca="1" si="2"/>
        <v>46324.554708333337</v>
      </c>
      <c r="P124" s="28" t="str">
        <f t="shared" si="3"/>
        <v>Medium</v>
      </c>
    </row>
    <row r="125" spans="1:16" ht="15" thickBot="1">
      <c r="A125" s="5" t="s">
        <v>264</v>
      </c>
      <c r="B125" s="3">
        <v>45573</v>
      </c>
      <c r="C125" s="2" t="s">
        <v>211</v>
      </c>
      <c r="D125" s="2" t="s">
        <v>212</v>
      </c>
      <c r="E125" s="2" t="s">
        <v>80</v>
      </c>
      <c r="F125" s="2" t="s">
        <v>81</v>
      </c>
      <c r="G125" s="2" t="s">
        <v>19</v>
      </c>
      <c r="H125" s="20">
        <v>2</v>
      </c>
      <c r="I125" s="13">
        <v>699.99</v>
      </c>
      <c r="J125" s="2" t="s">
        <v>57</v>
      </c>
      <c r="K125" s="2" t="s">
        <v>63</v>
      </c>
      <c r="L125" s="2" t="s">
        <v>27</v>
      </c>
      <c r="M125" s="3">
        <v>45274</v>
      </c>
      <c r="N125" s="17">
        <v>1399.98</v>
      </c>
      <c r="O125" s="27">
        <f t="shared" ca="1" si="2"/>
        <v>46324.554708333337</v>
      </c>
      <c r="P125" s="28" t="str">
        <f t="shared" si="3"/>
        <v>High</v>
      </c>
    </row>
    <row r="126" spans="1:16" ht="15" thickBot="1">
      <c r="A126" s="5" t="s">
        <v>265</v>
      </c>
      <c r="B126" s="3">
        <v>45573</v>
      </c>
      <c r="C126" s="2" t="s">
        <v>231</v>
      </c>
      <c r="D126" s="2" t="s">
        <v>232</v>
      </c>
      <c r="E126" s="2" t="s">
        <v>44</v>
      </c>
      <c r="F126" s="2" t="s">
        <v>45</v>
      </c>
      <c r="G126" s="2" t="s">
        <v>46</v>
      </c>
      <c r="H126" s="20">
        <v>3</v>
      </c>
      <c r="I126" s="13">
        <v>149.99</v>
      </c>
      <c r="J126" s="2" t="s">
        <v>26</v>
      </c>
      <c r="K126" s="2" t="s">
        <v>35</v>
      </c>
      <c r="L126" s="2" t="s">
        <v>36</v>
      </c>
      <c r="M126" s="3">
        <v>44940</v>
      </c>
      <c r="N126" s="17">
        <v>449.97</v>
      </c>
      <c r="O126" s="27">
        <f t="shared" ca="1" si="2"/>
        <v>46324.554708333337</v>
      </c>
      <c r="P126" s="28" t="str">
        <f t="shared" si="3"/>
        <v>Low</v>
      </c>
    </row>
    <row r="127" spans="1:16" ht="15" thickBot="1">
      <c r="A127" s="5" t="s">
        <v>266</v>
      </c>
      <c r="B127" s="3">
        <v>45576</v>
      </c>
      <c r="C127" s="2" t="s">
        <v>147</v>
      </c>
      <c r="D127" s="2" t="s">
        <v>148</v>
      </c>
      <c r="E127" s="2" t="s">
        <v>105</v>
      </c>
      <c r="F127" s="2" t="s">
        <v>106</v>
      </c>
      <c r="G127" s="2" t="s">
        <v>46</v>
      </c>
      <c r="H127" s="20">
        <v>3</v>
      </c>
      <c r="I127" s="13">
        <v>299.99</v>
      </c>
      <c r="J127" s="2" t="s">
        <v>26</v>
      </c>
      <c r="K127" s="2" t="s">
        <v>21</v>
      </c>
      <c r="L127" s="2" t="s">
        <v>36</v>
      </c>
      <c r="M127" s="3">
        <v>45174</v>
      </c>
      <c r="N127" s="17">
        <v>899.97</v>
      </c>
      <c r="O127" s="27">
        <f t="shared" ca="1" si="2"/>
        <v>46324.554708333337</v>
      </c>
      <c r="P127" s="28" t="str">
        <f t="shared" si="3"/>
        <v>Medium</v>
      </c>
    </row>
    <row r="128" spans="1:16" ht="15" thickBot="1">
      <c r="A128" s="5" t="s">
        <v>267</v>
      </c>
      <c r="B128" s="3">
        <v>45579</v>
      </c>
      <c r="C128" s="2" t="s">
        <v>83</v>
      </c>
      <c r="D128" s="2" t="s">
        <v>84</v>
      </c>
      <c r="E128" s="2" t="s">
        <v>61</v>
      </c>
      <c r="F128" s="2" t="s">
        <v>62</v>
      </c>
      <c r="G128" s="2" t="s">
        <v>19</v>
      </c>
      <c r="H128" s="20">
        <v>3</v>
      </c>
      <c r="I128" s="13">
        <v>899.99</v>
      </c>
      <c r="J128" s="2" t="s">
        <v>34</v>
      </c>
      <c r="K128" s="2" t="s">
        <v>50</v>
      </c>
      <c r="L128" s="2" t="s">
        <v>22</v>
      </c>
      <c r="M128" s="3">
        <v>45215</v>
      </c>
      <c r="N128" s="17">
        <v>2699.97</v>
      </c>
      <c r="O128" s="27">
        <f t="shared" ca="1" si="2"/>
        <v>46324.554708333337</v>
      </c>
      <c r="P128" s="28" t="str">
        <f t="shared" si="3"/>
        <v>High</v>
      </c>
    </row>
    <row r="129" spans="1:16" ht="15" thickBot="1">
      <c r="A129" s="5" t="s">
        <v>268</v>
      </c>
      <c r="B129" s="3">
        <v>45581</v>
      </c>
      <c r="C129" s="2" t="s">
        <v>96</v>
      </c>
      <c r="D129" s="2" t="s">
        <v>97</v>
      </c>
      <c r="E129" s="2" t="s">
        <v>80</v>
      </c>
      <c r="F129" s="2" t="s">
        <v>81</v>
      </c>
      <c r="G129" s="2" t="s">
        <v>19</v>
      </c>
      <c r="H129" s="20">
        <v>5</v>
      </c>
      <c r="I129" s="13">
        <v>699.99</v>
      </c>
      <c r="J129" s="2" t="s">
        <v>20</v>
      </c>
      <c r="K129" s="2" t="s">
        <v>63</v>
      </c>
      <c r="L129" s="2" t="s">
        <v>36</v>
      </c>
      <c r="M129" s="3">
        <v>45008</v>
      </c>
      <c r="N129" s="17">
        <v>3499.95</v>
      </c>
      <c r="O129" s="27">
        <f t="shared" ca="1" si="2"/>
        <v>46324.554708333337</v>
      </c>
      <c r="P129" s="28" t="str">
        <f t="shared" si="3"/>
        <v>High</v>
      </c>
    </row>
    <row r="130" spans="1:16" ht="15" thickBot="1">
      <c r="A130" s="5" t="s">
        <v>269</v>
      </c>
      <c r="B130" s="3">
        <v>45581</v>
      </c>
      <c r="C130" s="2" t="s">
        <v>171</v>
      </c>
      <c r="D130" s="2" t="s">
        <v>172</v>
      </c>
      <c r="E130" s="2" t="s">
        <v>80</v>
      </c>
      <c r="F130" s="2" t="s">
        <v>81</v>
      </c>
      <c r="G130" s="2" t="s">
        <v>19</v>
      </c>
      <c r="H130" s="20">
        <v>4</v>
      </c>
      <c r="I130" s="13">
        <v>699.99</v>
      </c>
      <c r="J130" s="2" t="s">
        <v>26</v>
      </c>
      <c r="K130" s="2" t="s">
        <v>21</v>
      </c>
      <c r="L130" s="2" t="s">
        <v>22</v>
      </c>
      <c r="M130" s="3">
        <v>45385</v>
      </c>
      <c r="N130" s="17">
        <v>2799.96</v>
      </c>
      <c r="O130" s="27">
        <f t="shared" ref="O130:O193" ca="1" si="4">IF(A130&lt;&gt;"",NOW(),"")</f>
        <v>46324.554708333337</v>
      </c>
      <c r="P130" s="28" t="str">
        <f t="shared" ref="P130:P193" si="5">IF(N130&gt;=1000,"High",IF(N130&gt;=500,"Medium","Low"))</f>
        <v>High</v>
      </c>
    </row>
    <row r="131" spans="1:16" ht="15" thickBot="1">
      <c r="A131" s="5" t="s">
        <v>270</v>
      </c>
      <c r="B131" s="3">
        <v>45581</v>
      </c>
      <c r="C131" s="2" t="s">
        <v>150</v>
      </c>
      <c r="D131" s="2" t="s">
        <v>151</v>
      </c>
      <c r="E131" s="2" t="s">
        <v>61</v>
      </c>
      <c r="F131" s="2" t="s">
        <v>62</v>
      </c>
      <c r="G131" s="2" t="s">
        <v>19</v>
      </c>
      <c r="H131" s="20">
        <v>1</v>
      </c>
      <c r="I131" s="13">
        <v>899.99</v>
      </c>
      <c r="J131" s="2" t="s">
        <v>26</v>
      </c>
      <c r="K131" s="2" t="s">
        <v>63</v>
      </c>
      <c r="L131" s="2" t="s">
        <v>36</v>
      </c>
      <c r="M131" s="3">
        <v>45369</v>
      </c>
      <c r="N131" s="17">
        <v>899.99</v>
      </c>
      <c r="O131" s="27">
        <f t="shared" ca="1" si="4"/>
        <v>46324.554708333337</v>
      </c>
      <c r="P131" s="28" t="str">
        <f t="shared" si="5"/>
        <v>Medium</v>
      </c>
    </row>
    <row r="132" spans="1:16" ht="15" thickBot="1">
      <c r="A132" s="5" t="s">
        <v>271</v>
      </c>
      <c r="B132" s="3">
        <v>45583</v>
      </c>
      <c r="C132" s="2" t="s">
        <v>226</v>
      </c>
      <c r="D132" s="2" t="s">
        <v>227</v>
      </c>
      <c r="E132" s="2" t="s">
        <v>52</v>
      </c>
      <c r="F132" s="2" t="s">
        <v>53</v>
      </c>
      <c r="G132" s="2" t="s">
        <v>19</v>
      </c>
      <c r="H132" s="20">
        <v>2</v>
      </c>
      <c r="I132" s="13">
        <v>149.99</v>
      </c>
      <c r="J132" s="2" t="s">
        <v>26</v>
      </c>
      <c r="K132" s="2" t="s">
        <v>50</v>
      </c>
      <c r="L132" s="2" t="s">
        <v>22</v>
      </c>
      <c r="M132" s="3">
        <v>44916</v>
      </c>
      <c r="N132" s="17">
        <v>299.98</v>
      </c>
      <c r="O132" s="27">
        <f t="shared" ca="1" si="4"/>
        <v>46324.554708333337</v>
      </c>
      <c r="P132" s="28" t="str">
        <f t="shared" si="5"/>
        <v>Low</v>
      </c>
    </row>
    <row r="133" spans="1:16" ht="15" thickBot="1">
      <c r="A133" s="5" t="s">
        <v>272</v>
      </c>
      <c r="B133" s="3">
        <v>45586</v>
      </c>
      <c r="C133" s="2" t="s">
        <v>226</v>
      </c>
      <c r="D133" s="2" t="s">
        <v>227</v>
      </c>
      <c r="E133" s="2" t="s">
        <v>117</v>
      </c>
      <c r="F133" s="2" t="s">
        <v>118</v>
      </c>
      <c r="G133" s="2" t="s">
        <v>19</v>
      </c>
      <c r="H133" s="20">
        <v>3</v>
      </c>
      <c r="I133" s="13">
        <v>89.99</v>
      </c>
      <c r="J133" s="2" t="s">
        <v>34</v>
      </c>
      <c r="K133" s="2" t="s">
        <v>21</v>
      </c>
      <c r="L133" s="2" t="s">
        <v>22</v>
      </c>
      <c r="M133" s="3">
        <v>44551</v>
      </c>
      <c r="N133" s="17">
        <v>269.97000000000003</v>
      </c>
      <c r="O133" s="27">
        <f t="shared" ca="1" si="4"/>
        <v>46324.554708333337</v>
      </c>
      <c r="P133" s="28" t="str">
        <f t="shared" si="5"/>
        <v>Low</v>
      </c>
    </row>
    <row r="134" spans="1:16" ht="15" thickBot="1">
      <c r="A134" s="5" t="s">
        <v>273</v>
      </c>
      <c r="B134" s="3">
        <v>45588</v>
      </c>
      <c r="C134" s="2" t="s">
        <v>38</v>
      </c>
      <c r="D134" s="2" t="s">
        <v>39</v>
      </c>
      <c r="E134" s="2" t="s">
        <v>52</v>
      </c>
      <c r="F134" s="2" t="s">
        <v>53</v>
      </c>
      <c r="G134" s="2" t="s">
        <v>19</v>
      </c>
      <c r="H134" s="20">
        <v>2</v>
      </c>
      <c r="I134" s="13">
        <v>149.99</v>
      </c>
      <c r="J134" s="2" t="s">
        <v>34</v>
      </c>
      <c r="K134" s="2" t="s">
        <v>21</v>
      </c>
      <c r="L134" s="2" t="s">
        <v>22</v>
      </c>
      <c r="M134" s="3">
        <v>44473</v>
      </c>
      <c r="N134" s="17">
        <v>299.98</v>
      </c>
      <c r="O134" s="27">
        <f t="shared" ca="1" si="4"/>
        <v>46324.554708333337</v>
      </c>
      <c r="P134" s="28" t="str">
        <f t="shared" si="5"/>
        <v>Low</v>
      </c>
    </row>
    <row r="135" spans="1:16" ht="15" thickBot="1">
      <c r="A135" s="5" t="s">
        <v>274</v>
      </c>
      <c r="B135" s="3">
        <v>45588</v>
      </c>
      <c r="C135" s="2" t="s">
        <v>154</v>
      </c>
      <c r="D135" s="2" t="s">
        <v>155</v>
      </c>
      <c r="E135" s="2" t="s">
        <v>80</v>
      </c>
      <c r="F135" s="2" t="s">
        <v>81</v>
      </c>
      <c r="G135" s="2" t="s">
        <v>19</v>
      </c>
      <c r="H135" s="20">
        <v>2</v>
      </c>
      <c r="I135" s="13">
        <v>699.99</v>
      </c>
      <c r="J135" s="2" t="s">
        <v>20</v>
      </c>
      <c r="K135" s="2" t="s">
        <v>21</v>
      </c>
      <c r="L135" s="2" t="s">
        <v>22</v>
      </c>
      <c r="M135" s="3">
        <v>44992</v>
      </c>
      <c r="N135" s="17">
        <v>1399.98</v>
      </c>
      <c r="O135" s="27">
        <f t="shared" ca="1" si="4"/>
        <v>46324.554708333337</v>
      </c>
      <c r="P135" s="28" t="str">
        <f t="shared" si="5"/>
        <v>High</v>
      </c>
    </row>
    <row r="136" spans="1:16" ht="15" thickBot="1">
      <c r="A136" s="5" t="s">
        <v>275</v>
      </c>
      <c r="B136" s="3">
        <v>45589</v>
      </c>
      <c r="C136" s="2" t="s">
        <v>158</v>
      </c>
      <c r="D136" s="2" t="s">
        <v>159</v>
      </c>
      <c r="E136" s="2" t="s">
        <v>80</v>
      </c>
      <c r="F136" s="2" t="s">
        <v>81</v>
      </c>
      <c r="G136" s="2" t="s">
        <v>19</v>
      </c>
      <c r="H136" s="20">
        <v>5</v>
      </c>
      <c r="I136" s="13">
        <v>699.99</v>
      </c>
      <c r="J136" s="2" t="s">
        <v>20</v>
      </c>
      <c r="K136" s="2" t="s">
        <v>40</v>
      </c>
      <c r="L136" s="2" t="s">
        <v>27</v>
      </c>
      <c r="M136" s="3">
        <v>44635</v>
      </c>
      <c r="N136" s="17">
        <v>3499.95</v>
      </c>
      <c r="O136" s="27">
        <f t="shared" ca="1" si="4"/>
        <v>46324.554708333337</v>
      </c>
      <c r="P136" s="28" t="str">
        <f t="shared" si="5"/>
        <v>High</v>
      </c>
    </row>
    <row r="137" spans="1:16" ht="15" thickBot="1">
      <c r="A137" s="5" t="s">
        <v>276</v>
      </c>
      <c r="B137" s="3">
        <v>45592</v>
      </c>
      <c r="C137" s="2" t="s">
        <v>171</v>
      </c>
      <c r="D137" s="2" t="s">
        <v>172</v>
      </c>
      <c r="E137" s="2" t="s">
        <v>117</v>
      </c>
      <c r="F137" s="2" t="s">
        <v>118</v>
      </c>
      <c r="G137" s="2" t="s">
        <v>19</v>
      </c>
      <c r="H137" s="20">
        <v>3</v>
      </c>
      <c r="I137" s="13">
        <v>89.99</v>
      </c>
      <c r="J137" s="2" t="s">
        <v>26</v>
      </c>
      <c r="K137" s="2" t="s">
        <v>40</v>
      </c>
      <c r="L137" s="2" t="s">
        <v>36</v>
      </c>
      <c r="M137" s="3">
        <v>44615</v>
      </c>
      <c r="N137" s="17">
        <v>269.97000000000003</v>
      </c>
      <c r="O137" s="27">
        <f t="shared" ca="1" si="4"/>
        <v>46324.554708333337</v>
      </c>
      <c r="P137" s="28" t="str">
        <f t="shared" si="5"/>
        <v>Low</v>
      </c>
    </row>
    <row r="138" spans="1:16" ht="15" thickBot="1">
      <c r="A138" s="5" t="s">
        <v>277</v>
      </c>
      <c r="B138" s="3">
        <v>45597</v>
      </c>
      <c r="C138" s="2" t="s">
        <v>15</v>
      </c>
      <c r="D138" s="2" t="s">
        <v>16</v>
      </c>
      <c r="E138" s="2" t="s">
        <v>17</v>
      </c>
      <c r="F138" s="2" t="s">
        <v>18</v>
      </c>
      <c r="G138" s="2" t="s">
        <v>19</v>
      </c>
      <c r="H138" s="20">
        <v>5</v>
      </c>
      <c r="I138" s="13">
        <v>249.99</v>
      </c>
      <c r="J138" s="2" t="s">
        <v>26</v>
      </c>
      <c r="K138" s="2" t="s">
        <v>35</v>
      </c>
      <c r="L138" s="2" t="s">
        <v>36</v>
      </c>
      <c r="M138" s="3">
        <v>44881</v>
      </c>
      <c r="N138" s="17">
        <v>1249.95</v>
      </c>
      <c r="O138" s="27">
        <f t="shared" ca="1" si="4"/>
        <v>46324.554708333337</v>
      </c>
      <c r="P138" s="28" t="str">
        <f t="shared" si="5"/>
        <v>High</v>
      </c>
    </row>
    <row r="139" spans="1:16" ht="15" thickBot="1">
      <c r="A139" s="5" t="s">
        <v>278</v>
      </c>
      <c r="B139" s="3">
        <v>45600</v>
      </c>
      <c r="C139" s="2" t="s">
        <v>65</v>
      </c>
      <c r="D139" s="2" t="s">
        <v>66</v>
      </c>
      <c r="E139" s="2" t="s">
        <v>105</v>
      </c>
      <c r="F139" s="2" t="s">
        <v>106</v>
      </c>
      <c r="G139" s="2" t="s">
        <v>46</v>
      </c>
      <c r="H139" s="20">
        <v>3</v>
      </c>
      <c r="I139" s="13">
        <v>299.99</v>
      </c>
      <c r="J139" s="2" t="s">
        <v>26</v>
      </c>
      <c r="K139" s="2" t="s">
        <v>35</v>
      </c>
      <c r="L139" s="2" t="s">
        <v>36</v>
      </c>
      <c r="M139" s="3">
        <v>44502</v>
      </c>
      <c r="N139" s="17">
        <v>899.97</v>
      </c>
      <c r="O139" s="27">
        <f t="shared" ca="1" si="4"/>
        <v>46324.554708333337</v>
      </c>
      <c r="P139" s="28" t="str">
        <f t="shared" si="5"/>
        <v>Medium</v>
      </c>
    </row>
    <row r="140" spans="1:16" ht="15" thickBot="1">
      <c r="A140" s="5" t="s">
        <v>279</v>
      </c>
      <c r="B140" s="3">
        <v>45603</v>
      </c>
      <c r="C140" s="2" t="s">
        <v>99</v>
      </c>
      <c r="D140" s="2" t="s">
        <v>100</v>
      </c>
      <c r="E140" s="2" t="s">
        <v>117</v>
      </c>
      <c r="F140" s="2" t="s">
        <v>118</v>
      </c>
      <c r="G140" s="2" t="s">
        <v>19</v>
      </c>
      <c r="H140" s="20">
        <v>3</v>
      </c>
      <c r="I140" s="13">
        <v>89.99</v>
      </c>
      <c r="J140" s="2" t="s">
        <v>26</v>
      </c>
      <c r="K140" s="2" t="s">
        <v>40</v>
      </c>
      <c r="L140" s="2" t="s">
        <v>27</v>
      </c>
      <c r="M140" s="3">
        <v>44420</v>
      </c>
      <c r="N140" s="17">
        <v>269.97000000000003</v>
      </c>
      <c r="O140" s="27">
        <f t="shared" ca="1" si="4"/>
        <v>46324.554708333337</v>
      </c>
      <c r="P140" s="28" t="str">
        <f t="shared" si="5"/>
        <v>Low</v>
      </c>
    </row>
    <row r="141" spans="1:16" ht="15" thickBot="1">
      <c r="A141" s="5" t="s">
        <v>280</v>
      </c>
      <c r="B141" s="3">
        <v>45604</v>
      </c>
      <c r="C141" s="2" t="s">
        <v>89</v>
      </c>
      <c r="D141" s="2" t="s">
        <v>90</v>
      </c>
      <c r="E141" s="2" t="s">
        <v>44</v>
      </c>
      <c r="F141" s="2" t="s">
        <v>45</v>
      </c>
      <c r="G141" s="2" t="s">
        <v>46</v>
      </c>
      <c r="H141" s="20">
        <v>2</v>
      </c>
      <c r="I141" s="13">
        <v>149.99</v>
      </c>
      <c r="J141" s="2" t="s">
        <v>26</v>
      </c>
      <c r="K141" s="2" t="s">
        <v>50</v>
      </c>
      <c r="L141" s="2" t="s">
        <v>27</v>
      </c>
      <c r="M141" s="3">
        <v>44848</v>
      </c>
      <c r="N141" s="17">
        <v>299.98</v>
      </c>
      <c r="O141" s="27">
        <f t="shared" ca="1" si="4"/>
        <v>46324.554708333337</v>
      </c>
      <c r="P141" s="28" t="str">
        <f t="shared" si="5"/>
        <v>Low</v>
      </c>
    </row>
    <row r="142" spans="1:16" ht="15" thickBot="1">
      <c r="A142" s="5" t="s">
        <v>281</v>
      </c>
      <c r="B142" s="3">
        <v>45605</v>
      </c>
      <c r="C142" s="2" t="s">
        <v>185</v>
      </c>
      <c r="D142" s="2" t="s">
        <v>186</v>
      </c>
      <c r="E142" s="2" t="s">
        <v>17</v>
      </c>
      <c r="F142" s="2" t="s">
        <v>18</v>
      </c>
      <c r="G142" s="2" t="s">
        <v>19</v>
      </c>
      <c r="H142" s="20">
        <v>1</v>
      </c>
      <c r="I142" s="13">
        <v>249.99</v>
      </c>
      <c r="J142" s="2" t="s">
        <v>26</v>
      </c>
      <c r="K142" s="2" t="s">
        <v>40</v>
      </c>
      <c r="L142" s="2" t="s">
        <v>27</v>
      </c>
      <c r="M142" s="3">
        <v>44828</v>
      </c>
      <c r="N142" s="17">
        <v>249.99</v>
      </c>
      <c r="O142" s="27">
        <f t="shared" ca="1" si="4"/>
        <v>46324.554708333337</v>
      </c>
      <c r="P142" s="28" t="str">
        <f t="shared" si="5"/>
        <v>Low</v>
      </c>
    </row>
    <row r="143" spans="1:16" ht="15" thickBot="1">
      <c r="A143" s="5" t="s">
        <v>282</v>
      </c>
      <c r="B143" s="3">
        <v>45607</v>
      </c>
      <c r="C143" s="2" t="s">
        <v>72</v>
      </c>
      <c r="D143" s="2" t="s">
        <v>73</v>
      </c>
      <c r="E143" s="2" t="s">
        <v>52</v>
      </c>
      <c r="F143" s="2" t="s">
        <v>53</v>
      </c>
      <c r="G143" s="2" t="s">
        <v>19</v>
      </c>
      <c r="H143" s="20">
        <v>3</v>
      </c>
      <c r="I143" s="13">
        <v>149.99</v>
      </c>
      <c r="J143" s="2" t="s">
        <v>20</v>
      </c>
      <c r="K143" s="2" t="s">
        <v>40</v>
      </c>
      <c r="L143" s="2" t="s">
        <v>22</v>
      </c>
      <c r="M143" s="3">
        <v>44769</v>
      </c>
      <c r="N143" s="17">
        <v>449.97</v>
      </c>
      <c r="O143" s="27">
        <f t="shared" ca="1" si="4"/>
        <v>46324.554708333337</v>
      </c>
      <c r="P143" s="28" t="str">
        <f t="shared" si="5"/>
        <v>Low</v>
      </c>
    </row>
    <row r="144" spans="1:16" ht="15" thickBot="1">
      <c r="A144" s="5" t="s">
        <v>283</v>
      </c>
      <c r="B144" s="3">
        <v>45607</v>
      </c>
      <c r="C144" s="2" t="s">
        <v>15</v>
      </c>
      <c r="D144" s="2" t="s">
        <v>16</v>
      </c>
      <c r="E144" s="2" t="s">
        <v>31</v>
      </c>
      <c r="F144" s="2" t="s">
        <v>32</v>
      </c>
      <c r="G144" s="2" t="s">
        <v>33</v>
      </c>
      <c r="H144" s="20">
        <v>5</v>
      </c>
      <c r="I144" s="13">
        <v>59.99</v>
      </c>
      <c r="J144" s="2" t="s">
        <v>34</v>
      </c>
      <c r="K144" s="2" t="s">
        <v>50</v>
      </c>
      <c r="L144" s="2" t="s">
        <v>27</v>
      </c>
      <c r="M144" s="3">
        <v>44694</v>
      </c>
      <c r="N144" s="17">
        <v>299.95</v>
      </c>
      <c r="O144" s="27">
        <f t="shared" ca="1" si="4"/>
        <v>46324.554708333337</v>
      </c>
      <c r="P144" s="28" t="str">
        <f t="shared" si="5"/>
        <v>Low</v>
      </c>
    </row>
    <row r="145" spans="1:16" ht="15" thickBot="1">
      <c r="A145" s="5" t="s">
        <v>284</v>
      </c>
      <c r="B145" s="3">
        <v>45607</v>
      </c>
      <c r="C145" s="2" t="s">
        <v>99</v>
      </c>
      <c r="D145" s="2" t="s">
        <v>100</v>
      </c>
      <c r="E145" s="2" t="s">
        <v>17</v>
      </c>
      <c r="F145" s="2" t="s">
        <v>18</v>
      </c>
      <c r="G145" s="2" t="s">
        <v>19</v>
      </c>
      <c r="H145" s="20">
        <v>4</v>
      </c>
      <c r="I145" s="13">
        <v>249.99</v>
      </c>
      <c r="J145" s="2" t="s">
        <v>26</v>
      </c>
      <c r="K145" s="2" t="s">
        <v>50</v>
      </c>
      <c r="L145" s="2" t="s">
        <v>36</v>
      </c>
      <c r="M145" s="3">
        <v>44659</v>
      </c>
      <c r="N145" s="17">
        <v>999.96</v>
      </c>
      <c r="O145" s="27">
        <f t="shared" ca="1" si="4"/>
        <v>46324.554708333337</v>
      </c>
      <c r="P145" s="28" t="str">
        <f t="shared" si="5"/>
        <v>Medium</v>
      </c>
    </row>
    <row r="146" spans="1:16" ht="15" thickBot="1">
      <c r="A146" s="5" t="s">
        <v>285</v>
      </c>
      <c r="B146" s="3">
        <v>45608</v>
      </c>
      <c r="C146" s="2" t="s">
        <v>154</v>
      </c>
      <c r="D146" s="2" t="s">
        <v>155</v>
      </c>
      <c r="E146" s="2" t="s">
        <v>44</v>
      </c>
      <c r="F146" s="2" t="s">
        <v>45</v>
      </c>
      <c r="G146" s="2" t="s">
        <v>46</v>
      </c>
      <c r="H146" s="20">
        <v>5</v>
      </c>
      <c r="I146" s="13">
        <v>149.99</v>
      </c>
      <c r="J146" s="2" t="s">
        <v>34</v>
      </c>
      <c r="K146" s="2" t="s">
        <v>21</v>
      </c>
      <c r="L146" s="2" t="s">
        <v>22</v>
      </c>
      <c r="M146" s="3">
        <v>44901</v>
      </c>
      <c r="N146" s="17">
        <v>749.95</v>
      </c>
      <c r="O146" s="27">
        <f t="shared" ca="1" si="4"/>
        <v>46324.554708333337</v>
      </c>
      <c r="P146" s="28" t="str">
        <f t="shared" si="5"/>
        <v>Medium</v>
      </c>
    </row>
    <row r="147" spans="1:16" ht="15" thickBot="1">
      <c r="A147" s="5" t="s">
        <v>286</v>
      </c>
      <c r="B147" s="3">
        <v>45608</v>
      </c>
      <c r="C147" s="2" t="s">
        <v>83</v>
      </c>
      <c r="D147" s="2" t="s">
        <v>84</v>
      </c>
      <c r="E147" s="2" t="s">
        <v>31</v>
      </c>
      <c r="F147" s="2" t="s">
        <v>32</v>
      </c>
      <c r="G147" s="2" t="s">
        <v>33</v>
      </c>
      <c r="H147" s="20">
        <v>3</v>
      </c>
      <c r="I147" s="13">
        <v>59.99</v>
      </c>
      <c r="J147" s="2" t="s">
        <v>57</v>
      </c>
      <c r="K147" s="2" t="s">
        <v>35</v>
      </c>
      <c r="L147" s="2" t="s">
        <v>36</v>
      </c>
      <c r="M147" s="3">
        <v>45260</v>
      </c>
      <c r="N147" s="17">
        <v>179.97</v>
      </c>
      <c r="O147" s="27">
        <f t="shared" ca="1" si="4"/>
        <v>46324.554708333337</v>
      </c>
      <c r="P147" s="28" t="str">
        <f t="shared" si="5"/>
        <v>Low</v>
      </c>
    </row>
    <row r="148" spans="1:16" ht="15" thickBot="1">
      <c r="A148" s="5" t="s">
        <v>287</v>
      </c>
      <c r="B148" s="3">
        <v>45613</v>
      </c>
      <c r="C148" s="2" t="s">
        <v>234</v>
      </c>
      <c r="D148" s="2" t="s">
        <v>235</v>
      </c>
      <c r="E148" s="2" t="s">
        <v>44</v>
      </c>
      <c r="F148" s="2" t="s">
        <v>45</v>
      </c>
      <c r="G148" s="2" t="s">
        <v>46</v>
      </c>
      <c r="H148" s="20">
        <v>5</v>
      </c>
      <c r="I148" s="13">
        <v>149.99</v>
      </c>
      <c r="J148" s="2" t="s">
        <v>20</v>
      </c>
      <c r="K148" s="2" t="s">
        <v>40</v>
      </c>
      <c r="L148" s="2" t="s">
        <v>22</v>
      </c>
      <c r="M148" s="3">
        <v>44869</v>
      </c>
      <c r="N148" s="17">
        <v>749.95</v>
      </c>
      <c r="O148" s="27">
        <f t="shared" ca="1" si="4"/>
        <v>46324.554708333337</v>
      </c>
      <c r="P148" s="28" t="str">
        <f t="shared" si="5"/>
        <v>Medium</v>
      </c>
    </row>
    <row r="149" spans="1:16" ht="15" thickBot="1">
      <c r="A149" s="5" t="s">
        <v>288</v>
      </c>
      <c r="B149" s="3">
        <v>45613</v>
      </c>
      <c r="C149" s="2" t="s">
        <v>86</v>
      </c>
      <c r="D149" s="2" t="s">
        <v>87</v>
      </c>
      <c r="E149" s="2" t="s">
        <v>80</v>
      </c>
      <c r="F149" s="2" t="s">
        <v>81</v>
      </c>
      <c r="G149" s="2" t="s">
        <v>19</v>
      </c>
      <c r="H149" s="20">
        <v>2</v>
      </c>
      <c r="I149" s="13">
        <v>699.99</v>
      </c>
      <c r="J149" s="2" t="s">
        <v>34</v>
      </c>
      <c r="K149" s="2" t="s">
        <v>50</v>
      </c>
      <c r="L149" s="2" t="s">
        <v>36</v>
      </c>
      <c r="M149" s="3">
        <v>44770</v>
      </c>
      <c r="N149" s="17">
        <v>1399.98</v>
      </c>
      <c r="O149" s="27">
        <f t="shared" ca="1" si="4"/>
        <v>46324.554708333337</v>
      </c>
      <c r="P149" s="28" t="str">
        <f t="shared" si="5"/>
        <v>High</v>
      </c>
    </row>
    <row r="150" spans="1:16" ht="15" thickBot="1">
      <c r="A150" s="5" t="s">
        <v>289</v>
      </c>
      <c r="B150" s="3">
        <v>45617</v>
      </c>
      <c r="C150" s="2" t="s">
        <v>123</v>
      </c>
      <c r="D150" s="2" t="s">
        <v>124</v>
      </c>
      <c r="E150" s="2" t="s">
        <v>126</v>
      </c>
      <c r="F150" s="2" t="s">
        <v>127</v>
      </c>
      <c r="G150" s="2" t="s">
        <v>46</v>
      </c>
      <c r="H150" s="20">
        <v>4</v>
      </c>
      <c r="I150" s="13">
        <v>199.99</v>
      </c>
      <c r="J150" s="2" t="s">
        <v>57</v>
      </c>
      <c r="K150" s="2" t="s">
        <v>21</v>
      </c>
      <c r="L150" s="2" t="s">
        <v>27</v>
      </c>
      <c r="M150" s="3">
        <v>44427</v>
      </c>
      <c r="N150" s="17">
        <v>799.96</v>
      </c>
      <c r="O150" s="27">
        <f t="shared" ca="1" si="4"/>
        <v>46324.554708333337</v>
      </c>
      <c r="P150" s="28" t="str">
        <f t="shared" si="5"/>
        <v>Medium</v>
      </c>
    </row>
    <row r="151" spans="1:16" ht="15" thickBot="1">
      <c r="A151" s="5" t="s">
        <v>290</v>
      </c>
      <c r="B151" s="3">
        <v>45619</v>
      </c>
      <c r="C151" s="2" t="s">
        <v>192</v>
      </c>
      <c r="D151" s="2" t="s">
        <v>193</v>
      </c>
      <c r="E151" s="2" t="s">
        <v>31</v>
      </c>
      <c r="F151" s="2" t="s">
        <v>32</v>
      </c>
      <c r="G151" s="2" t="s">
        <v>33</v>
      </c>
      <c r="H151" s="20">
        <v>1</v>
      </c>
      <c r="I151" s="13">
        <v>59.99</v>
      </c>
      <c r="J151" s="2" t="s">
        <v>57</v>
      </c>
      <c r="K151" s="2" t="s">
        <v>50</v>
      </c>
      <c r="L151" s="2" t="s">
        <v>36</v>
      </c>
      <c r="M151" s="3">
        <v>44560</v>
      </c>
      <c r="N151" s="17">
        <v>59.99</v>
      </c>
      <c r="O151" s="27">
        <f t="shared" ca="1" si="4"/>
        <v>46324.554708333337</v>
      </c>
      <c r="P151" s="28" t="str">
        <f t="shared" si="5"/>
        <v>Low</v>
      </c>
    </row>
    <row r="152" spans="1:16" ht="15" thickBot="1">
      <c r="A152" s="5" t="s">
        <v>291</v>
      </c>
      <c r="B152" s="3">
        <v>45619</v>
      </c>
      <c r="C152" s="2" t="s">
        <v>154</v>
      </c>
      <c r="D152" s="2" t="s">
        <v>155</v>
      </c>
      <c r="E152" s="2" t="s">
        <v>80</v>
      </c>
      <c r="F152" s="2" t="s">
        <v>81</v>
      </c>
      <c r="G152" s="2" t="s">
        <v>19</v>
      </c>
      <c r="H152" s="20">
        <v>3</v>
      </c>
      <c r="I152" s="13">
        <v>699.99</v>
      </c>
      <c r="J152" s="2" t="s">
        <v>34</v>
      </c>
      <c r="K152" s="2" t="s">
        <v>50</v>
      </c>
      <c r="L152" s="2" t="s">
        <v>36</v>
      </c>
      <c r="M152" s="3">
        <v>44583</v>
      </c>
      <c r="N152" s="17">
        <v>2099.9699999999998</v>
      </c>
      <c r="O152" s="27">
        <f t="shared" ca="1" si="4"/>
        <v>46324.554708333337</v>
      </c>
      <c r="P152" s="28" t="str">
        <f t="shared" si="5"/>
        <v>High</v>
      </c>
    </row>
    <row r="153" spans="1:16" ht="15" thickBot="1">
      <c r="A153" s="5" t="s">
        <v>292</v>
      </c>
      <c r="B153" s="3">
        <v>45622</v>
      </c>
      <c r="C153" s="2" t="s">
        <v>293</v>
      </c>
      <c r="D153" s="2" t="s">
        <v>294</v>
      </c>
      <c r="E153" s="2" t="s">
        <v>17</v>
      </c>
      <c r="F153" s="2" t="s">
        <v>18</v>
      </c>
      <c r="G153" s="2" t="s">
        <v>19</v>
      </c>
      <c r="H153" s="20">
        <v>5</v>
      </c>
      <c r="I153" s="13">
        <v>249.99</v>
      </c>
      <c r="J153" s="2" t="s">
        <v>26</v>
      </c>
      <c r="K153" s="2" t="s">
        <v>40</v>
      </c>
      <c r="L153" s="2" t="s">
        <v>22</v>
      </c>
      <c r="M153" s="3">
        <v>44873</v>
      </c>
      <c r="N153" s="17">
        <v>1249.95</v>
      </c>
      <c r="O153" s="27">
        <f t="shared" ca="1" si="4"/>
        <v>46324.554708333337</v>
      </c>
      <c r="P153" s="28" t="str">
        <f t="shared" si="5"/>
        <v>High</v>
      </c>
    </row>
    <row r="154" spans="1:16" ht="15" thickBot="1">
      <c r="A154" s="5" t="s">
        <v>295</v>
      </c>
      <c r="B154" s="3">
        <v>45623</v>
      </c>
      <c r="C154" s="2" t="s">
        <v>112</v>
      </c>
      <c r="D154" s="2" t="s">
        <v>113</v>
      </c>
      <c r="E154" s="2" t="s">
        <v>44</v>
      </c>
      <c r="F154" s="2" t="s">
        <v>45</v>
      </c>
      <c r="G154" s="2" t="s">
        <v>46</v>
      </c>
      <c r="H154" s="20">
        <v>2</v>
      </c>
      <c r="I154" s="13">
        <v>149.99</v>
      </c>
      <c r="J154" s="2" t="s">
        <v>20</v>
      </c>
      <c r="K154" s="2" t="s">
        <v>35</v>
      </c>
      <c r="L154" s="2" t="s">
        <v>36</v>
      </c>
      <c r="M154" s="3">
        <v>45101</v>
      </c>
      <c r="N154" s="17">
        <v>299.98</v>
      </c>
      <c r="O154" s="27">
        <f t="shared" ca="1" si="4"/>
        <v>46324.554708333337</v>
      </c>
      <c r="P154" s="28" t="str">
        <f t="shared" si="5"/>
        <v>Low</v>
      </c>
    </row>
    <row r="155" spans="1:16" ht="15" thickBot="1">
      <c r="A155" s="5" t="s">
        <v>296</v>
      </c>
      <c r="B155" s="3">
        <v>45627</v>
      </c>
      <c r="C155" s="2" t="s">
        <v>29</v>
      </c>
      <c r="D155" s="2" t="s">
        <v>30</v>
      </c>
      <c r="E155" s="2" t="s">
        <v>105</v>
      </c>
      <c r="F155" s="2" t="s">
        <v>106</v>
      </c>
      <c r="G155" s="2" t="s">
        <v>46</v>
      </c>
      <c r="H155" s="20">
        <v>3</v>
      </c>
      <c r="I155" s="13">
        <v>299.99</v>
      </c>
      <c r="J155" s="2" t="s">
        <v>20</v>
      </c>
      <c r="K155" s="2" t="s">
        <v>35</v>
      </c>
      <c r="L155" s="2" t="s">
        <v>27</v>
      </c>
      <c r="M155" s="3">
        <v>44659</v>
      </c>
      <c r="N155" s="17">
        <v>899.97</v>
      </c>
      <c r="O155" s="27">
        <f t="shared" ca="1" si="4"/>
        <v>46324.554708333337</v>
      </c>
      <c r="P155" s="28" t="str">
        <f t="shared" si="5"/>
        <v>Medium</v>
      </c>
    </row>
    <row r="156" spans="1:16" ht="15" thickBot="1">
      <c r="A156" s="5" t="s">
        <v>297</v>
      </c>
      <c r="B156" s="3">
        <v>45627</v>
      </c>
      <c r="C156" s="2" t="s">
        <v>55</v>
      </c>
      <c r="D156" s="2" t="s">
        <v>56</v>
      </c>
      <c r="E156" s="2" t="s">
        <v>17</v>
      </c>
      <c r="F156" s="2" t="s">
        <v>18</v>
      </c>
      <c r="G156" s="2" t="s">
        <v>19</v>
      </c>
      <c r="H156" s="20">
        <v>5</v>
      </c>
      <c r="I156" s="13">
        <v>249.99</v>
      </c>
      <c r="J156" s="2" t="s">
        <v>20</v>
      </c>
      <c r="K156" s="2" t="s">
        <v>21</v>
      </c>
      <c r="L156" s="2" t="s">
        <v>27</v>
      </c>
      <c r="M156" s="3">
        <v>44485</v>
      </c>
      <c r="N156" s="17">
        <v>1249.95</v>
      </c>
      <c r="O156" s="27">
        <f t="shared" ca="1" si="4"/>
        <v>46324.554708333337</v>
      </c>
      <c r="P156" s="28" t="str">
        <f t="shared" si="5"/>
        <v>High</v>
      </c>
    </row>
    <row r="157" spans="1:16" ht="15" thickBot="1">
      <c r="A157" s="5" t="s">
        <v>298</v>
      </c>
      <c r="B157" s="3">
        <v>45627</v>
      </c>
      <c r="C157" s="2" t="s">
        <v>24</v>
      </c>
      <c r="D157" s="2" t="s">
        <v>25</v>
      </c>
      <c r="E157" s="2" t="s">
        <v>52</v>
      </c>
      <c r="F157" s="2" t="s">
        <v>53</v>
      </c>
      <c r="G157" s="2" t="s">
        <v>19</v>
      </c>
      <c r="H157" s="20">
        <v>2</v>
      </c>
      <c r="I157" s="13">
        <v>149.99</v>
      </c>
      <c r="J157" s="2" t="s">
        <v>20</v>
      </c>
      <c r="K157" s="2" t="s">
        <v>35</v>
      </c>
      <c r="L157" s="2" t="s">
        <v>27</v>
      </c>
      <c r="M157" s="3">
        <v>44475</v>
      </c>
      <c r="N157" s="17">
        <v>299.98</v>
      </c>
      <c r="O157" s="27">
        <f t="shared" ca="1" si="4"/>
        <v>46324.554708333337</v>
      </c>
      <c r="P157" s="28" t="str">
        <f t="shared" si="5"/>
        <v>Low</v>
      </c>
    </row>
    <row r="158" spans="1:16" ht="15" thickBot="1">
      <c r="A158" s="5" t="s">
        <v>299</v>
      </c>
      <c r="B158" s="3">
        <v>45627</v>
      </c>
      <c r="C158" s="2" t="s">
        <v>86</v>
      </c>
      <c r="D158" s="2" t="s">
        <v>87</v>
      </c>
      <c r="E158" s="2" t="s">
        <v>80</v>
      </c>
      <c r="F158" s="2" t="s">
        <v>81</v>
      </c>
      <c r="G158" s="2" t="s">
        <v>19</v>
      </c>
      <c r="H158" s="20">
        <v>5</v>
      </c>
      <c r="I158" s="13">
        <v>699.99</v>
      </c>
      <c r="J158" s="2" t="s">
        <v>57</v>
      </c>
      <c r="K158" s="2" t="s">
        <v>50</v>
      </c>
      <c r="L158" s="2" t="s">
        <v>36</v>
      </c>
      <c r="M158" s="3">
        <v>44944</v>
      </c>
      <c r="N158" s="17">
        <v>3499.95</v>
      </c>
      <c r="O158" s="27">
        <f t="shared" ca="1" si="4"/>
        <v>46324.554708333337</v>
      </c>
      <c r="P158" s="28" t="str">
        <f t="shared" si="5"/>
        <v>High</v>
      </c>
    </row>
    <row r="159" spans="1:16" ht="15" thickBot="1">
      <c r="A159" s="5" t="s">
        <v>300</v>
      </c>
      <c r="B159" s="3">
        <v>45629</v>
      </c>
      <c r="C159" s="2" t="s">
        <v>252</v>
      </c>
      <c r="D159" s="2" t="s">
        <v>253</v>
      </c>
      <c r="E159" s="2" t="s">
        <v>17</v>
      </c>
      <c r="F159" s="2" t="s">
        <v>18</v>
      </c>
      <c r="G159" s="2" t="s">
        <v>19</v>
      </c>
      <c r="H159" s="20">
        <v>4</v>
      </c>
      <c r="I159" s="13">
        <v>249.99</v>
      </c>
      <c r="J159" s="2" t="s">
        <v>34</v>
      </c>
      <c r="K159" s="2" t="s">
        <v>63</v>
      </c>
      <c r="L159" s="2" t="s">
        <v>27</v>
      </c>
      <c r="M159" s="3">
        <v>45098</v>
      </c>
      <c r="N159" s="17">
        <v>999.96</v>
      </c>
      <c r="O159" s="27">
        <f t="shared" ca="1" si="4"/>
        <v>46324.554708333337</v>
      </c>
      <c r="P159" s="28" t="str">
        <f t="shared" si="5"/>
        <v>Medium</v>
      </c>
    </row>
    <row r="160" spans="1:16" ht="15" thickBot="1">
      <c r="A160" s="5" t="s">
        <v>301</v>
      </c>
      <c r="B160" s="3">
        <v>45630</v>
      </c>
      <c r="C160" s="2" t="s">
        <v>48</v>
      </c>
      <c r="D160" s="2" t="s">
        <v>49</v>
      </c>
      <c r="E160" s="2" t="s">
        <v>80</v>
      </c>
      <c r="F160" s="2" t="s">
        <v>81</v>
      </c>
      <c r="G160" s="2" t="s">
        <v>19</v>
      </c>
      <c r="H160" s="20">
        <v>4</v>
      </c>
      <c r="I160" s="13">
        <v>699.99</v>
      </c>
      <c r="J160" s="2" t="s">
        <v>26</v>
      </c>
      <c r="K160" s="2" t="s">
        <v>40</v>
      </c>
      <c r="L160" s="2" t="s">
        <v>27</v>
      </c>
      <c r="M160" s="3">
        <v>44703</v>
      </c>
      <c r="N160" s="17">
        <v>2799.96</v>
      </c>
      <c r="O160" s="27">
        <f t="shared" ca="1" si="4"/>
        <v>46324.554708333337</v>
      </c>
      <c r="P160" s="28" t="str">
        <f t="shared" si="5"/>
        <v>High</v>
      </c>
    </row>
    <row r="161" spans="1:16" ht="15" thickBot="1">
      <c r="A161" s="5" t="s">
        <v>302</v>
      </c>
      <c r="B161" s="3">
        <v>45635</v>
      </c>
      <c r="C161" s="2" t="s">
        <v>108</v>
      </c>
      <c r="D161" s="2" t="s">
        <v>109</v>
      </c>
      <c r="E161" s="2" t="s">
        <v>17</v>
      </c>
      <c r="F161" s="2" t="s">
        <v>18</v>
      </c>
      <c r="G161" s="2" t="s">
        <v>19</v>
      </c>
      <c r="H161" s="20">
        <v>2</v>
      </c>
      <c r="I161" s="13">
        <v>249.99</v>
      </c>
      <c r="J161" s="2" t="s">
        <v>26</v>
      </c>
      <c r="K161" s="2" t="s">
        <v>21</v>
      </c>
      <c r="L161" s="2" t="s">
        <v>27</v>
      </c>
      <c r="M161" s="3">
        <v>44396</v>
      </c>
      <c r="N161" s="17">
        <v>499.98</v>
      </c>
      <c r="O161" s="27">
        <f t="shared" ca="1" si="4"/>
        <v>46324.554708333337</v>
      </c>
      <c r="P161" s="28" t="str">
        <f t="shared" si="5"/>
        <v>Low</v>
      </c>
    </row>
    <row r="162" spans="1:16" ht="15" thickBot="1">
      <c r="A162" s="5" t="s">
        <v>303</v>
      </c>
      <c r="B162" s="3">
        <v>45635</v>
      </c>
      <c r="C162" s="2" t="s">
        <v>304</v>
      </c>
      <c r="D162" s="2" t="s">
        <v>305</v>
      </c>
      <c r="E162" s="2" t="s">
        <v>31</v>
      </c>
      <c r="F162" s="2" t="s">
        <v>32</v>
      </c>
      <c r="G162" s="2" t="s">
        <v>33</v>
      </c>
      <c r="H162" s="20">
        <v>3</v>
      </c>
      <c r="I162" s="13">
        <v>59.99</v>
      </c>
      <c r="J162" s="2" t="s">
        <v>20</v>
      </c>
      <c r="K162" s="2" t="s">
        <v>21</v>
      </c>
      <c r="L162" s="2" t="s">
        <v>27</v>
      </c>
      <c r="M162" s="3">
        <v>45052</v>
      </c>
      <c r="N162" s="17">
        <v>179.97</v>
      </c>
      <c r="O162" s="27">
        <f t="shared" ca="1" si="4"/>
        <v>46324.554708333337</v>
      </c>
      <c r="P162" s="28" t="str">
        <f t="shared" si="5"/>
        <v>Low</v>
      </c>
    </row>
    <row r="163" spans="1:16" ht="15" thickBot="1">
      <c r="A163" s="5" t="s">
        <v>306</v>
      </c>
      <c r="B163" s="3">
        <v>45635</v>
      </c>
      <c r="C163" s="2" t="s">
        <v>141</v>
      </c>
      <c r="D163" s="2" t="s">
        <v>142</v>
      </c>
      <c r="E163" s="2" t="s">
        <v>114</v>
      </c>
      <c r="F163" s="2" t="s">
        <v>115</v>
      </c>
      <c r="G163" s="2" t="s">
        <v>33</v>
      </c>
      <c r="H163" s="20">
        <v>4</v>
      </c>
      <c r="I163" s="13">
        <v>79.989999999999995</v>
      </c>
      <c r="J163" s="2" t="s">
        <v>57</v>
      </c>
      <c r="K163" s="2" t="s">
        <v>63</v>
      </c>
      <c r="L163" s="2" t="s">
        <v>36</v>
      </c>
      <c r="M163" s="3">
        <v>44921</v>
      </c>
      <c r="N163" s="17">
        <v>319.95999999999998</v>
      </c>
      <c r="O163" s="27">
        <f t="shared" ca="1" si="4"/>
        <v>46324.554708333337</v>
      </c>
      <c r="P163" s="28" t="str">
        <f t="shared" si="5"/>
        <v>Low</v>
      </c>
    </row>
    <row r="164" spans="1:16" ht="15" thickBot="1">
      <c r="A164" s="5" t="s">
        <v>307</v>
      </c>
      <c r="B164" s="3">
        <v>45636</v>
      </c>
      <c r="C164" s="2" t="s">
        <v>120</v>
      </c>
      <c r="D164" s="2" t="s">
        <v>121</v>
      </c>
      <c r="E164" s="2" t="s">
        <v>114</v>
      </c>
      <c r="F164" s="2" t="s">
        <v>115</v>
      </c>
      <c r="G164" s="2" t="s">
        <v>33</v>
      </c>
      <c r="H164" s="20">
        <v>3</v>
      </c>
      <c r="I164" s="13">
        <v>79.989999999999995</v>
      </c>
      <c r="J164" s="2" t="s">
        <v>57</v>
      </c>
      <c r="K164" s="2" t="s">
        <v>63</v>
      </c>
      <c r="L164" s="2" t="s">
        <v>36</v>
      </c>
      <c r="M164" s="3">
        <v>44779</v>
      </c>
      <c r="N164" s="17">
        <v>239.97</v>
      </c>
      <c r="O164" s="27">
        <f t="shared" ca="1" si="4"/>
        <v>46324.554708333337</v>
      </c>
      <c r="P164" s="28" t="str">
        <f t="shared" si="5"/>
        <v>Low</v>
      </c>
    </row>
    <row r="165" spans="1:16" ht="15" thickBot="1">
      <c r="A165" s="5" t="s">
        <v>308</v>
      </c>
      <c r="B165" s="3">
        <v>45638</v>
      </c>
      <c r="C165" s="2" t="s">
        <v>72</v>
      </c>
      <c r="D165" s="2" t="s">
        <v>73</v>
      </c>
      <c r="E165" s="2" t="s">
        <v>61</v>
      </c>
      <c r="F165" s="2" t="s">
        <v>62</v>
      </c>
      <c r="G165" s="2" t="s">
        <v>19</v>
      </c>
      <c r="H165" s="20">
        <v>2</v>
      </c>
      <c r="I165" s="13">
        <v>899.99</v>
      </c>
      <c r="J165" s="2" t="s">
        <v>20</v>
      </c>
      <c r="K165" s="2" t="s">
        <v>40</v>
      </c>
      <c r="L165" s="2" t="s">
        <v>22</v>
      </c>
      <c r="M165" s="3">
        <v>44406</v>
      </c>
      <c r="N165" s="17">
        <v>1799.98</v>
      </c>
      <c r="O165" s="27">
        <f t="shared" ca="1" si="4"/>
        <v>46324.554708333337</v>
      </c>
      <c r="P165" s="28" t="str">
        <f t="shared" si="5"/>
        <v>High</v>
      </c>
    </row>
    <row r="166" spans="1:16" ht="15" thickBot="1">
      <c r="A166" s="5" t="s">
        <v>309</v>
      </c>
      <c r="B166" s="3">
        <v>45641</v>
      </c>
      <c r="C166" s="2" t="s">
        <v>182</v>
      </c>
      <c r="D166" s="2" t="s">
        <v>183</v>
      </c>
      <c r="E166" s="2" t="s">
        <v>44</v>
      </c>
      <c r="F166" s="2" t="s">
        <v>45</v>
      </c>
      <c r="G166" s="2" t="s">
        <v>46</v>
      </c>
      <c r="H166" s="20">
        <v>1</v>
      </c>
      <c r="I166" s="13">
        <v>149.99</v>
      </c>
      <c r="J166" s="2" t="s">
        <v>57</v>
      </c>
      <c r="K166" s="2" t="s">
        <v>63</v>
      </c>
      <c r="L166" s="2" t="s">
        <v>36</v>
      </c>
      <c r="M166" s="3">
        <v>45200</v>
      </c>
      <c r="N166" s="17">
        <v>149.99</v>
      </c>
      <c r="O166" s="27">
        <f t="shared" ca="1" si="4"/>
        <v>46324.554708333337</v>
      </c>
      <c r="P166" s="28" t="str">
        <f t="shared" si="5"/>
        <v>Low</v>
      </c>
    </row>
    <row r="167" spans="1:16" ht="15" thickBot="1">
      <c r="A167" s="5" t="s">
        <v>310</v>
      </c>
      <c r="B167" s="3">
        <v>45641</v>
      </c>
      <c r="C167" s="2" t="s">
        <v>138</v>
      </c>
      <c r="D167" s="2" t="s">
        <v>139</v>
      </c>
      <c r="E167" s="2" t="s">
        <v>105</v>
      </c>
      <c r="F167" s="2" t="s">
        <v>106</v>
      </c>
      <c r="G167" s="2" t="s">
        <v>46</v>
      </c>
      <c r="H167" s="20">
        <v>2</v>
      </c>
      <c r="I167" s="13">
        <v>299.99</v>
      </c>
      <c r="J167" s="2" t="s">
        <v>20</v>
      </c>
      <c r="K167" s="2" t="s">
        <v>63</v>
      </c>
      <c r="L167" s="2" t="s">
        <v>27</v>
      </c>
      <c r="M167" s="3">
        <v>44724</v>
      </c>
      <c r="N167" s="17">
        <v>599.98</v>
      </c>
      <c r="O167" s="27">
        <f t="shared" ca="1" si="4"/>
        <v>46324.554708333337</v>
      </c>
      <c r="P167" s="28" t="str">
        <f t="shared" si="5"/>
        <v>Medium</v>
      </c>
    </row>
    <row r="168" spans="1:16" ht="15" thickBot="1">
      <c r="A168" s="5" t="s">
        <v>311</v>
      </c>
      <c r="B168" s="3">
        <v>45644</v>
      </c>
      <c r="C168" s="2" t="s">
        <v>132</v>
      </c>
      <c r="D168" s="2" t="s">
        <v>133</v>
      </c>
      <c r="E168" s="2" t="s">
        <v>31</v>
      </c>
      <c r="F168" s="2" t="s">
        <v>32</v>
      </c>
      <c r="G168" s="2" t="s">
        <v>33</v>
      </c>
      <c r="H168" s="20">
        <v>2</v>
      </c>
      <c r="I168" s="13">
        <v>59.99</v>
      </c>
      <c r="J168" s="2" t="s">
        <v>20</v>
      </c>
      <c r="K168" s="2" t="s">
        <v>50</v>
      </c>
      <c r="L168" s="2" t="s">
        <v>22</v>
      </c>
      <c r="M168" s="3">
        <v>45191</v>
      </c>
      <c r="N168" s="17">
        <v>119.98</v>
      </c>
      <c r="O168" s="27">
        <f t="shared" ca="1" si="4"/>
        <v>46324.554708333337</v>
      </c>
      <c r="P168" s="28" t="str">
        <f t="shared" si="5"/>
        <v>Low</v>
      </c>
    </row>
    <row r="169" spans="1:16" ht="15" thickBot="1">
      <c r="A169" s="5" t="s">
        <v>312</v>
      </c>
      <c r="B169" s="3">
        <v>45645</v>
      </c>
      <c r="C169" s="2" t="s">
        <v>182</v>
      </c>
      <c r="D169" s="2" t="s">
        <v>183</v>
      </c>
      <c r="E169" s="2" t="s">
        <v>117</v>
      </c>
      <c r="F169" s="2" t="s">
        <v>118</v>
      </c>
      <c r="G169" s="2" t="s">
        <v>19</v>
      </c>
      <c r="H169" s="20">
        <v>1</v>
      </c>
      <c r="I169" s="13">
        <v>89.99</v>
      </c>
      <c r="J169" s="2" t="s">
        <v>57</v>
      </c>
      <c r="K169" s="2" t="s">
        <v>21</v>
      </c>
      <c r="L169" s="2" t="s">
        <v>36</v>
      </c>
      <c r="M169" s="3">
        <v>44760</v>
      </c>
      <c r="N169" s="17">
        <v>89.99</v>
      </c>
      <c r="O169" s="27">
        <f t="shared" ca="1" si="4"/>
        <v>46324.554708333337</v>
      </c>
      <c r="P169" s="28" t="str">
        <f t="shared" si="5"/>
        <v>Low</v>
      </c>
    </row>
    <row r="170" spans="1:16" ht="15" thickBot="1">
      <c r="A170" s="5" t="s">
        <v>313</v>
      </c>
      <c r="B170" s="3">
        <v>45645</v>
      </c>
      <c r="C170" s="2" t="s">
        <v>147</v>
      </c>
      <c r="D170" s="2" t="s">
        <v>148</v>
      </c>
      <c r="E170" s="2" t="s">
        <v>61</v>
      </c>
      <c r="F170" s="2" t="s">
        <v>62</v>
      </c>
      <c r="G170" s="2" t="s">
        <v>19</v>
      </c>
      <c r="H170" s="20">
        <v>5</v>
      </c>
      <c r="I170" s="13">
        <v>899.99</v>
      </c>
      <c r="J170" s="2" t="s">
        <v>57</v>
      </c>
      <c r="K170" s="2" t="s">
        <v>63</v>
      </c>
      <c r="L170" s="2" t="s">
        <v>36</v>
      </c>
      <c r="M170" s="3">
        <v>44625</v>
      </c>
      <c r="N170" s="17">
        <v>4499.95</v>
      </c>
      <c r="O170" s="27">
        <f t="shared" ca="1" si="4"/>
        <v>46324.554708333337</v>
      </c>
      <c r="P170" s="28" t="str">
        <f t="shared" si="5"/>
        <v>High</v>
      </c>
    </row>
    <row r="171" spans="1:16" ht="15" thickBot="1">
      <c r="A171" s="5" t="s">
        <v>314</v>
      </c>
      <c r="B171" s="3">
        <v>45646</v>
      </c>
      <c r="C171" s="2" t="s">
        <v>42</v>
      </c>
      <c r="D171" s="2" t="s">
        <v>43</v>
      </c>
      <c r="E171" s="2" t="s">
        <v>44</v>
      </c>
      <c r="F171" s="2" t="s">
        <v>45</v>
      </c>
      <c r="G171" s="2" t="s">
        <v>46</v>
      </c>
      <c r="H171" s="20">
        <v>2</v>
      </c>
      <c r="I171" s="13">
        <v>149.99</v>
      </c>
      <c r="J171" s="2" t="s">
        <v>20</v>
      </c>
      <c r="K171" s="2" t="s">
        <v>35</v>
      </c>
      <c r="L171" s="2" t="s">
        <v>22</v>
      </c>
      <c r="M171" s="3">
        <v>45239</v>
      </c>
      <c r="N171" s="17">
        <v>299.98</v>
      </c>
      <c r="O171" s="27">
        <f t="shared" ca="1" si="4"/>
        <v>46324.554708333337</v>
      </c>
      <c r="P171" s="28" t="str">
        <f t="shared" si="5"/>
        <v>Low</v>
      </c>
    </row>
    <row r="172" spans="1:16" ht="15" thickBot="1">
      <c r="A172" s="5" t="s">
        <v>315</v>
      </c>
      <c r="B172" s="3">
        <v>45648</v>
      </c>
      <c r="C172" s="2" t="s">
        <v>112</v>
      </c>
      <c r="D172" s="2" t="s">
        <v>113</v>
      </c>
      <c r="E172" s="2" t="s">
        <v>52</v>
      </c>
      <c r="F172" s="2" t="s">
        <v>53</v>
      </c>
      <c r="G172" s="2" t="s">
        <v>19</v>
      </c>
      <c r="H172" s="20">
        <v>2</v>
      </c>
      <c r="I172" s="13">
        <v>149.99</v>
      </c>
      <c r="J172" s="2" t="s">
        <v>57</v>
      </c>
      <c r="K172" s="2" t="s">
        <v>50</v>
      </c>
      <c r="L172" s="2" t="s">
        <v>27</v>
      </c>
      <c r="M172" s="3">
        <v>45280</v>
      </c>
      <c r="N172" s="17">
        <v>299.98</v>
      </c>
      <c r="O172" s="27">
        <f t="shared" ca="1" si="4"/>
        <v>46324.554708333337</v>
      </c>
      <c r="P172" s="28" t="str">
        <f t="shared" si="5"/>
        <v>Low</v>
      </c>
    </row>
    <row r="173" spans="1:16" ht="15" thickBot="1">
      <c r="A173" s="5" t="s">
        <v>316</v>
      </c>
      <c r="B173" s="3">
        <v>45648</v>
      </c>
      <c r="C173" s="2" t="s">
        <v>182</v>
      </c>
      <c r="D173" s="2" t="s">
        <v>183</v>
      </c>
      <c r="E173" s="2" t="s">
        <v>44</v>
      </c>
      <c r="F173" s="2" t="s">
        <v>45</v>
      </c>
      <c r="G173" s="2" t="s">
        <v>46</v>
      </c>
      <c r="H173" s="20">
        <v>3</v>
      </c>
      <c r="I173" s="13">
        <v>149.99</v>
      </c>
      <c r="J173" s="2" t="s">
        <v>57</v>
      </c>
      <c r="K173" s="2" t="s">
        <v>40</v>
      </c>
      <c r="L173" s="2" t="s">
        <v>36</v>
      </c>
      <c r="M173" s="3">
        <v>44522</v>
      </c>
      <c r="N173" s="17">
        <v>449.97</v>
      </c>
      <c r="O173" s="27">
        <f t="shared" ca="1" si="4"/>
        <v>46324.554708333337</v>
      </c>
      <c r="P173" s="28" t="str">
        <f t="shared" si="5"/>
        <v>Low</v>
      </c>
    </row>
    <row r="174" spans="1:16" ht="15" thickBot="1">
      <c r="A174" s="5" t="s">
        <v>317</v>
      </c>
      <c r="B174" s="3">
        <v>45649</v>
      </c>
      <c r="C174" s="2" t="s">
        <v>29</v>
      </c>
      <c r="D174" s="2" t="s">
        <v>30</v>
      </c>
      <c r="E174" s="2" t="s">
        <v>105</v>
      </c>
      <c r="F174" s="2" t="s">
        <v>106</v>
      </c>
      <c r="G174" s="2" t="s">
        <v>46</v>
      </c>
      <c r="H174" s="20">
        <v>2</v>
      </c>
      <c r="I174" s="13">
        <v>299.99</v>
      </c>
      <c r="J174" s="2" t="s">
        <v>34</v>
      </c>
      <c r="K174" s="2" t="s">
        <v>35</v>
      </c>
      <c r="L174" s="2" t="s">
        <v>22</v>
      </c>
      <c r="M174" s="3">
        <v>44721</v>
      </c>
      <c r="N174" s="17">
        <v>599.98</v>
      </c>
      <c r="O174" s="27">
        <f t="shared" ca="1" si="4"/>
        <v>46324.554708333337</v>
      </c>
      <c r="P174" s="28" t="str">
        <f t="shared" si="5"/>
        <v>Medium</v>
      </c>
    </row>
    <row r="175" spans="1:16" ht="15" thickBot="1">
      <c r="A175" s="5" t="s">
        <v>318</v>
      </c>
      <c r="B175" s="3">
        <v>45654</v>
      </c>
      <c r="C175" s="2" t="s">
        <v>42</v>
      </c>
      <c r="D175" s="2" t="s">
        <v>43</v>
      </c>
      <c r="E175" s="2" t="s">
        <v>105</v>
      </c>
      <c r="F175" s="2" t="s">
        <v>106</v>
      </c>
      <c r="G175" s="2" t="s">
        <v>46</v>
      </c>
      <c r="H175" s="20">
        <v>2</v>
      </c>
      <c r="I175" s="13">
        <v>299.99</v>
      </c>
      <c r="J175" s="2" t="s">
        <v>20</v>
      </c>
      <c r="K175" s="2" t="s">
        <v>50</v>
      </c>
      <c r="L175" s="2" t="s">
        <v>22</v>
      </c>
      <c r="M175" s="3">
        <v>44771</v>
      </c>
      <c r="N175" s="17">
        <v>599.98</v>
      </c>
      <c r="O175" s="27">
        <f t="shared" ca="1" si="4"/>
        <v>46324.554708333337</v>
      </c>
      <c r="P175" s="28" t="str">
        <f t="shared" si="5"/>
        <v>Medium</v>
      </c>
    </row>
    <row r="176" spans="1:16" ht="15" thickBot="1">
      <c r="A176" s="5" t="s">
        <v>319</v>
      </c>
      <c r="B176" s="3">
        <v>45654</v>
      </c>
      <c r="C176" s="2" t="s">
        <v>120</v>
      </c>
      <c r="D176" s="2" t="s">
        <v>121</v>
      </c>
      <c r="E176" s="2" t="s">
        <v>126</v>
      </c>
      <c r="F176" s="2" t="s">
        <v>127</v>
      </c>
      <c r="G176" s="2" t="s">
        <v>46</v>
      </c>
      <c r="H176" s="20">
        <v>4</v>
      </c>
      <c r="I176" s="13">
        <v>199.99</v>
      </c>
      <c r="J176" s="2" t="s">
        <v>26</v>
      </c>
      <c r="K176" s="2" t="s">
        <v>21</v>
      </c>
      <c r="L176" s="2" t="s">
        <v>22</v>
      </c>
      <c r="M176" s="3">
        <v>44523</v>
      </c>
      <c r="N176" s="17">
        <v>799.96</v>
      </c>
      <c r="O176" s="27">
        <f t="shared" ca="1" si="4"/>
        <v>46324.554708333337</v>
      </c>
      <c r="P176" s="28" t="str">
        <f t="shared" si="5"/>
        <v>Medium</v>
      </c>
    </row>
    <row r="177" spans="1:16" ht="15" thickBot="1">
      <c r="A177" s="5" t="s">
        <v>320</v>
      </c>
      <c r="B177" s="3">
        <v>45655</v>
      </c>
      <c r="C177" s="2" t="s">
        <v>59</v>
      </c>
      <c r="D177" s="2" t="s">
        <v>60</v>
      </c>
      <c r="E177" s="2" t="s">
        <v>117</v>
      </c>
      <c r="F177" s="2" t="s">
        <v>118</v>
      </c>
      <c r="G177" s="2" t="s">
        <v>19</v>
      </c>
      <c r="H177" s="20">
        <v>1</v>
      </c>
      <c r="I177" s="13">
        <v>89.99</v>
      </c>
      <c r="J177" s="2" t="s">
        <v>26</v>
      </c>
      <c r="K177" s="2" t="s">
        <v>35</v>
      </c>
      <c r="L177" s="2" t="s">
        <v>27</v>
      </c>
      <c r="M177" s="3">
        <v>44591</v>
      </c>
      <c r="N177" s="17">
        <v>89.99</v>
      </c>
      <c r="O177" s="27">
        <f t="shared" ca="1" si="4"/>
        <v>46324.554708333337</v>
      </c>
      <c r="P177" s="28" t="str">
        <f t="shared" si="5"/>
        <v>Low</v>
      </c>
    </row>
    <row r="178" spans="1:16" ht="15" thickBot="1">
      <c r="A178" s="5" t="s">
        <v>321</v>
      </c>
      <c r="B178" s="3">
        <v>45655</v>
      </c>
      <c r="C178" s="2" t="s">
        <v>108</v>
      </c>
      <c r="D178" s="2" t="s">
        <v>109</v>
      </c>
      <c r="E178" s="2" t="s">
        <v>44</v>
      </c>
      <c r="F178" s="2" t="s">
        <v>45</v>
      </c>
      <c r="G178" s="2" t="s">
        <v>46</v>
      </c>
      <c r="H178" s="20">
        <v>5</v>
      </c>
      <c r="I178" s="13">
        <v>149.99</v>
      </c>
      <c r="J178" s="2" t="s">
        <v>20</v>
      </c>
      <c r="K178" s="2" t="s">
        <v>21</v>
      </c>
      <c r="L178" s="2" t="s">
        <v>27</v>
      </c>
      <c r="M178" s="3">
        <v>45347</v>
      </c>
      <c r="N178" s="17">
        <v>749.95</v>
      </c>
      <c r="O178" s="27">
        <f t="shared" ca="1" si="4"/>
        <v>46324.554708333337</v>
      </c>
      <c r="P178" s="28" t="str">
        <f t="shared" si="5"/>
        <v>Medium</v>
      </c>
    </row>
    <row r="179" spans="1:16" ht="15" thickBot="1">
      <c r="A179" s="5" t="s">
        <v>322</v>
      </c>
      <c r="B179" s="3">
        <v>45657</v>
      </c>
      <c r="C179" s="2" t="s">
        <v>86</v>
      </c>
      <c r="D179" s="2" t="s">
        <v>87</v>
      </c>
      <c r="E179" s="2" t="s">
        <v>61</v>
      </c>
      <c r="F179" s="2" t="s">
        <v>62</v>
      </c>
      <c r="G179" s="2" t="s">
        <v>19</v>
      </c>
      <c r="H179" s="20">
        <v>1</v>
      </c>
      <c r="I179" s="13">
        <v>899.99</v>
      </c>
      <c r="J179" s="2" t="s">
        <v>34</v>
      </c>
      <c r="K179" s="2" t="s">
        <v>40</v>
      </c>
      <c r="L179" s="2" t="s">
        <v>27</v>
      </c>
      <c r="M179" s="3">
        <v>45050</v>
      </c>
      <c r="N179" s="17">
        <v>899.99</v>
      </c>
      <c r="O179" s="27">
        <f t="shared" ca="1" si="4"/>
        <v>46324.554708333337</v>
      </c>
      <c r="P179" s="28" t="str">
        <f t="shared" si="5"/>
        <v>Medium</v>
      </c>
    </row>
    <row r="180" spans="1:16" ht="15" thickBot="1">
      <c r="A180" s="5" t="s">
        <v>323</v>
      </c>
      <c r="B180" s="3">
        <v>45660</v>
      </c>
      <c r="C180" s="2" t="s">
        <v>147</v>
      </c>
      <c r="D180" s="2" t="s">
        <v>148</v>
      </c>
      <c r="E180" s="2" t="s">
        <v>117</v>
      </c>
      <c r="F180" s="2" t="s">
        <v>118</v>
      </c>
      <c r="G180" s="2" t="s">
        <v>19</v>
      </c>
      <c r="H180" s="20">
        <v>2</v>
      </c>
      <c r="I180" s="13">
        <v>89.99</v>
      </c>
      <c r="J180" s="2" t="s">
        <v>26</v>
      </c>
      <c r="K180" s="2" t="s">
        <v>35</v>
      </c>
      <c r="L180" s="2" t="s">
        <v>27</v>
      </c>
      <c r="M180" s="3">
        <v>44564</v>
      </c>
      <c r="N180" s="17">
        <v>179.98</v>
      </c>
      <c r="O180" s="27">
        <f t="shared" ca="1" si="4"/>
        <v>46324.554708333337</v>
      </c>
      <c r="P180" s="28" t="str">
        <f t="shared" si="5"/>
        <v>Low</v>
      </c>
    </row>
    <row r="181" spans="1:16" ht="15" thickBot="1">
      <c r="A181" s="5" t="s">
        <v>324</v>
      </c>
      <c r="B181" s="3">
        <v>45661</v>
      </c>
      <c r="C181" s="2" t="s">
        <v>325</v>
      </c>
      <c r="D181" s="2" t="s">
        <v>326</v>
      </c>
      <c r="E181" s="2" t="s">
        <v>61</v>
      </c>
      <c r="F181" s="2" t="s">
        <v>62</v>
      </c>
      <c r="G181" s="2" t="s">
        <v>19</v>
      </c>
      <c r="H181" s="20">
        <v>1</v>
      </c>
      <c r="I181" s="13">
        <v>899.99</v>
      </c>
      <c r="J181" s="2" t="s">
        <v>34</v>
      </c>
      <c r="K181" s="2" t="s">
        <v>40</v>
      </c>
      <c r="L181" s="2" t="s">
        <v>36</v>
      </c>
      <c r="M181" s="3">
        <v>44752</v>
      </c>
      <c r="N181" s="17">
        <v>899.99</v>
      </c>
      <c r="O181" s="27">
        <f t="shared" ca="1" si="4"/>
        <v>46324.554708333337</v>
      </c>
      <c r="P181" s="28" t="str">
        <f t="shared" si="5"/>
        <v>Medium</v>
      </c>
    </row>
    <row r="182" spans="1:16" ht="15" thickBot="1">
      <c r="A182" s="5" t="s">
        <v>327</v>
      </c>
      <c r="B182" s="3">
        <v>45663</v>
      </c>
      <c r="C182" s="2" t="s">
        <v>129</v>
      </c>
      <c r="D182" s="2" t="s">
        <v>130</v>
      </c>
      <c r="E182" s="2" t="s">
        <v>52</v>
      </c>
      <c r="F182" s="2" t="s">
        <v>53</v>
      </c>
      <c r="G182" s="2" t="s">
        <v>19</v>
      </c>
      <c r="H182" s="20">
        <v>5</v>
      </c>
      <c r="I182" s="13">
        <v>149.99</v>
      </c>
      <c r="J182" s="2" t="s">
        <v>34</v>
      </c>
      <c r="K182" s="2" t="s">
        <v>63</v>
      </c>
      <c r="L182" s="2" t="s">
        <v>27</v>
      </c>
      <c r="M182" s="3">
        <v>44824</v>
      </c>
      <c r="N182" s="17">
        <v>749.95</v>
      </c>
      <c r="O182" s="27">
        <f t="shared" ca="1" si="4"/>
        <v>46324.554708333337</v>
      </c>
      <c r="P182" s="28" t="str">
        <f t="shared" si="5"/>
        <v>Medium</v>
      </c>
    </row>
    <row r="183" spans="1:16" ht="15" thickBot="1">
      <c r="A183" s="5" t="s">
        <v>328</v>
      </c>
      <c r="B183" s="3">
        <v>45663</v>
      </c>
      <c r="C183" s="2" t="s">
        <v>42</v>
      </c>
      <c r="D183" s="2" t="s">
        <v>43</v>
      </c>
      <c r="E183" s="2" t="s">
        <v>105</v>
      </c>
      <c r="F183" s="2" t="s">
        <v>106</v>
      </c>
      <c r="G183" s="2" t="s">
        <v>46</v>
      </c>
      <c r="H183" s="20">
        <v>3</v>
      </c>
      <c r="I183" s="13">
        <v>299.99</v>
      </c>
      <c r="J183" s="2" t="s">
        <v>20</v>
      </c>
      <c r="K183" s="2" t="s">
        <v>35</v>
      </c>
      <c r="L183" s="2" t="s">
        <v>36</v>
      </c>
      <c r="M183" s="3">
        <v>44422</v>
      </c>
      <c r="N183" s="17">
        <v>899.97</v>
      </c>
      <c r="O183" s="27">
        <f t="shared" ca="1" si="4"/>
        <v>46324.554708333337</v>
      </c>
      <c r="P183" s="28" t="str">
        <f t="shared" si="5"/>
        <v>Medium</v>
      </c>
    </row>
    <row r="184" spans="1:16" ht="15" thickBot="1">
      <c r="A184" s="5" t="s">
        <v>329</v>
      </c>
      <c r="B184" s="3">
        <v>45666</v>
      </c>
      <c r="C184" s="2" t="s">
        <v>65</v>
      </c>
      <c r="D184" s="2" t="s">
        <v>66</v>
      </c>
      <c r="E184" s="2" t="s">
        <v>80</v>
      </c>
      <c r="F184" s="2" t="s">
        <v>81</v>
      </c>
      <c r="G184" s="2" t="s">
        <v>19</v>
      </c>
      <c r="H184" s="20">
        <v>3</v>
      </c>
      <c r="I184" s="13">
        <v>699.99</v>
      </c>
      <c r="J184" s="2" t="s">
        <v>26</v>
      </c>
      <c r="K184" s="2" t="s">
        <v>21</v>
      </c>
      <c r="L184" s="2" t="s">
        <v>27</v>
      </c>
      <c r="M184" s="3">
        <v>45105</v>
      </c>
      <c r="N184" s="17">
        <v>2099.9699999999998</v>
      </c>
      <c r="O184" s="27">
        <f t="shared" ca="1" si="4"/>
        <v>46324.554708333337</v>
      </c>
      <c r="P184" s="28" t="str">
        <f t="shared" si="5"/>
        <v>High</v>
      </c>
    </row>
    <row r="185" spans="1:16" ht="15" thickBot="1">
      <c r="A185" s="5" t="s">
        <v>330</v>
      </c>
      <c r="B185" s="3">
        <v>45667</v>
      </c>
      <c r="C185" s="2" t="s">
        <v>108</v>
      </c>
      <c r="D185" s="2" t="s">
        <v>109</v>
      </c>
      <c r="E185" s="2" t="s">
        <v>126</v>
      </c>
      <c r="F185" s="2" t="s">
        <v>127</v>
      </c>
      <c r="G185" s="2" t="s">
        <v>46</v>
      </c>
      <c r="H185" s="20">
        <v>5</v>
      </c>
      <c r="I185" s="13">
        <v>199.99</v>
      </c>
      <c r="J185" s="2" t="s">
        <v>34</v>
      </c>
      <c r="K185" s="2" t="s">
        <v>21</v>
      </c>
      <c r="L185" s="2" t="s">
        <v>36</v>
      </c>
      <c r="M185" s="3">
        <v>44633</v>
      </c>
      <c r="N185" s="17">
        <v>999.95</v>
      </c>
      <c r="O185" s="27">
        <f t="shared" ca="1" si="4"/>
        <v>46324.554708333337</v>
      </c>
      <c r="P185" s="28" t="str">
        <f t="shared" si="5"/>
        <v>Medium</v>
      </c>
    </row>
    <row r="186" spans="1:16" ht="15" thickBot="1">
      <c r="A186" s="5" t="s">
        <v>331</v>
      </c>
      <c r="B186" s="3">
        <v>45667</v>
      </c>
      <c r="C186" s="2" t="s">
        <v>93</v>
      </c>
      <c r="D186" s="2" t="s">
        <v>94</v>
      </c>
      <c r="E186" s="2" t="s">
        <v>17</v>
      </c>
      <c r="F186" s="2" t="s">
        <v>18</v>
      </c>
      <c r="G186" s="2" t="s">
        <v>19</v>
      </c>
      <c r="H186" s="20">
        <v>5</v>
      </c>
      <c r="I186" s="13">
        <v>249.99</v>
      </c>
      <c r="J186" s="2" t="s">
        <v>26</v>
      </c>
      <c r="K186" s="2" t="s">
        <v>35</v>
      </c>
      <c r="L186" s="2" t="s">
        <v>22</v>
      </c>
      <c r="M186" s="3">
        <v>45330</v>
      </c>
      <c r="N186" s="17">
        <v>1249.95</v>
      </c>
      <c r="O186" s="27">
        <f t="shared" ca="1" si="4"/>
        <v>46324.554708333337</v>
      </c>
      <c r="P186" s="28" t="str">
        <f t="shared" si="5"/>
        <v>High</v>
      </c>
    </row>
    <row r="187" spans="1:16" ht="15" thickBot="1">
      <c r="A187" s="5" t="s">
        <v>332</v>
      </c>
      <c r="B187" s="3">
        <v>45668</v>
      </c>
      <c r="C187" s="2" t="s">
        <v>138</v>
      </c>
      <c r="D187" s="2" t="s">
        <v>139</v>
      </c>
      <c r="E187" s="2" t="s">
        <v>52</v>
      </c>
      <c r="F187" s="2" t="s">
        <v>53</v>
      </c>
      <c r="G187" s="2" t="s">
        <v>19</v>
      </c>
      <c r="H187" s="20">
        <v>4</v>
      </c>
      <c r="I187" s="13">
        <v>149.99</v>
      </c>
      <c r="J187" s="2" t="s">
        <v>57</v>
      </c>
      <c r="K187" s="2" t="s">
        <v>63</v>
      </c>
      <c r="L187" s="2" t="s">
        <v>36</v>
      </c>
      <c r="M187" s="3">
        <v>44536</v>
      </c>
      <c r="N187" s="17">
        <v>599.96</v>
      </c>
      <c r="O187" s="27">
        <f t="shared" ca="1" si="4"/>
        <v>46324.554708333337</v>
      </c>
      <c r="P187" s="28" t="str">
        <f t="shared" si="5"/>
        <v>Medium</v>
      </c>
    </row>
    <row r="188" spans="1:16" ht="15" thickBot="1">
      <c r="A188" s="5" t="s">
        <v>333</v>
      </c>
      <c r="B188" s="3">
        <v>45668</v>
      </c>
      <c r="C188" s="2" t="s">
        <v>78</v>
      </c>
      <c r="D188" s="2" t="s">
        <v>79</v>
      </c>
      <c r="E188" s="2" t="s">
        <v>80</v>
      </c>
      <c r="F188" s="2" t="s">
        <v>81</v>
      </c>
      <c r="G188" s="2" t="s">
        <v>19</v>
      </c>
      <c r="H188" s="20">
        <v>3</v>
      </c>
      <c r="I188" s="13">
        <v>699.99</v>
      </c>
      <c r="J188" s="2" t="s">
        <v>20</v>
      </c>
      <c r="K188" s="2" t="s">
        <v>40</v>
      </c>
      <c r="L188" s="2" t="s">
        <v>27</v>
      </c>
      <c r="M188" s="3">
        <v>44602</v>
      </c>
      <c r="N188" s="17">
        <v>2099.9699999999998</v>
      </c>
      <c r="O188" s="27">
        <f t="shared" ca="1" si="4"/>
        <v>46324.554708333337</v>
      </c>
      <c r="P188" s="28" t="str">
        <f t="shared" si="5"/>
        <v>High</v>
      </c>
    </row>
    <row r="189" spans="1:16" ht="15" thickBot="1">
      <c r="A189" s="5" t="s">
        <v>334</v>
      </c>
      <c r="B189" s="3">
        <v>45670</v>
      </c>
      <c r="C189" s="2" t="s">
        <v>293</v>
      </c>
      <c r="D189" s="2" t="s">
        <v>294</v>
      </c>
      <c r="E189" s="2" t="s">
        <v>114</v>
      </c>
      <c r="F189" s="2" t="s">
        <v>115</v>
      </c>
      <c r="G189" s="2" t="s">
        <v>33</v>
      </c>
      <c r="H189" s="20">
        <v>1</v>
      </c>
      <c r="I189" s="13">
        <v>79.989999999999995</v>
      </c>
      <c r="J189" s="2" t="s">
        <v>26</v>
      </c>
      <c r="K189" s="2" t="s">
        <v>35</v>
      </c>
      <c r="L189" s="2" t="s">
        <v>22</v>
      </c>
      <c r="M189" s="3">
        <v>45322</v>
      </c>
      <c r="N189" s="17">
        <v>79.989999999999995</v>
      </c>
      <c r="O189" s="27">
        <f t="shared" ca="1" si="4"/>
        <v>46324.554708333337</v>
      </c>
      <c r="P189" s="28" t="str">
        <f t="shared" si="5"/>
        <v>Low</v>
      </c>
    </row>
    <row r="190" spans="1:16" ht="15" thickBot="1">
      <c r="A190" s="5" t="s">
        <v>335</v>
      </c>
      <c r="B190" s="3">
        <v>45670</v>
      </c>
      <c r="C190" s="2" t="s">
        <v>86</v>
      </c>
      <c r="D190" s="2" t="s">
        <v>87</v>
      </c>
      <c r="E190" s="2" t="s">
        <v>105</v>
      </c>
      <c r="F190" s="2" t="s">
        <v>106</v>
      </c>
      <c r="G190" s="2" t="s">
        <v>46</v>
      </c>
      <c r="H190" s="20">
        <v>1</v>
      </c>
      <c r="I190" s="13">
        <v>299.99</v>
      </c>
      <c r="J190" s="2" t="s">
        <v>26</v>
      </c>
      <c r="K190" s="2" t="s">
        <v>40</v>
      </c>
      <c r="L190" s="2" t="s">
        <v>22</v>
      </c>
      <c r="M190" s="3">
        <v>44436</v>
      </c>
      <c r="N190" s="17">
        <v>299.99</v>
      </c>
      <c r="O190" s="27">
        <f t="shared" ca="1" si="4"/>
        <v>46324.554708333337</v>
      </c>
      <c r="P190" s="28" t="str">
        <f t="shared" si="5"/>
        <v>Low</v>
      </c>
    </row>
    <row r="191" spans="1:16" ht="15" thickBot="1">
      <c r="A191" s="5" t="s">
        <v>336</v>
      </c>
      <c r="B191" s="3">
        <v>45671</v>
      </c>
      <c r="C191" s="2" t="s">
        <v>158</v>
      </c>
      <c r="D191" s="2" t="s">
        <v>159</v>
      </c>
      <c r="E191" s="2" t="s">
        <v>17</v>
      </c>
      <c r="F191" s="2" t="s">
        <v>18</v>
      </c>
      <c r="G191" s="2" t="s">
        <v>19</v>
      </c>
      <c r="H191" s="20">
        <v>4</v>
      </c>
      <c r="I191" s="13">
        <v>249.99</v>
      </c>
      <c r="J191" s="2" t="s">
        <v>26</v>
      </c>
      <c r="K191" s="2" t="s">
        <v>40</v>
      </c>
      <c r="L191" s="2" t="s">
        <v>27</v>
      </c>
      <c r="M191" s="3">
        <v>44460</v>
      </c>
      <c r="N191" s="17">
        <v>999.96</v>
      </c>
      <c r="O191" s="27">
        <f t="shared" ca="1" si="4"/>
        <v>46324.554708333337</v>
      </c>
      <c r="P191" s="28" t="str">
        <f t="shared" si="5"/>
        <v>Medium</v>
      </c>
    </row>
    <row r="192" spans="1:16" ht="15" thickBot="1">
      <c r="A192" s="5" t="s">
        <v>337</v>
      </c>
      <c r="B192" s="3">
        <v>45671</v>
      </c>
      <c r="C192" s="2" t="s">
        <v>120</v>
      </c>
      <c r="D192" s="2" t="s">
        <v>121</v>
      </c>
      <c r="E192" s="2" t="s">
        <v>52</v>
      </c>
      <c r="F192" s="2" t="s">
        <v>53</v>
      </c>
      <c r="G192" s="2" t="s">
        <v>19</v>
      </c>
      <c r="H192" s="20">
        <v>2</v>
      </c>
      <c r="I192" s="13">
        <v>149.99</v>
      </c>
      <c r="J192" s="2" t="s">
        <v>20</v>
      </c>
      <c r="K192" s="2" t="s">
        <v>40</v>
      </c>
      <c r="L192" s="2" t="s">
        <v>36</v>
      </c>
      <c r="M192" s="3">
        <v>44913</v>
      </c>
      <c r="N192" s="17">
        <v>299.98</v>
      </c>
      <c r="O192" s="27">
        <f t="shared" ca="1" si="4"/>
        <v>46324.554708333337</v>
      </c>
      <c r="P192" s="28" t="str">
        <f t="shared" si="5"/>
        <v>Low</v>
      </c>
    </row>
    <row r="193" spans="1:16" ht="15" thickBot="1">
      <c r="A193" s="5" t="s">
        <v>338</v>
      </c>
      <c r="B193" s="3">
        <v>45671</v>
      </c>
      <c r="C193" s="2" t="s">
        <v>234</v>
      </c>
      <c r="D193" s="2" t="s">
        <v>235</v>
      </c>
      <c r="E193" s="2" t="s">
        <v>105</v>
      </c>
      <c r="F193" s="2" t="s">
        <v>106</v>
      </c>
      <c r="G193" s="2" t="s">
        <v>46</v>
      </c>
      <c r="H193" s="20">
        <v>3</v>
      </c>
      <c r="I193" s="13">
        <v>299.99</v>
      </c>
      <c r="J193" s="2" t="s">
        <v>26</v>
      </c>
      <c r="K193" s="2" t="s">
        <v>35</v>
      </c>
      <c r="L193" s="2" t="s">
        <v>22</v>
      </c>
      <c r="M193" s="3">
        <v>45204</v>
      </c>
      <c r="N193" s="17">
        <v>899.97</v>
      </c>
      <c r="O193" s="27">
        <f t="shared" ca="1" si="4"/>
        <v>46324.554708333337</v>
      </c>
      <c r="P193" s="28" t="str">
        <f t="shared" si="5"/>
        <v>Medium</v>
      </c>
    </row>
    <row r="194" spans="1:16" ht="15" thickBot="1">
      <c r="A194" s="5" t="s">
        <v>339</v>
      </c>
      <c r="B194" s="3">
        <v>45673</v>
      </c>
      <c r="C194" s="2" t="s">
        <v>226</v>
      </c>
      <c r="D194" s="2" t="s">
        <v>227</v>
      </c>
      <c r="E194" s="2" t="s">
        <v>126</v>
      </c>
      <c r="F194" s="2" t="s">
        <v>127</v>
      </c>
      <c r="G194" s="2" t="s">
        <v>46</v>
      </c>
      <c r="H194" s="20">
        <v>4</v>
      </c>
      <c r="I194" s="13">
        <v>199.99</v>
      </c>
      <c r="J194" s="2" t="s">
        <v>57</v>
      </c>
      <c r="K194" s="2" t="s">
        <v>35</v>
      </c>
      <c r="L194" s="2" t="s">
        <v>36</v>
      </c>
      <c r="M194" s="3">
        <v>44544</v>
      </c>
      <c r="N194" s="17">
        <v>799.96</v>
      </c>
      <c r="O194" s="27">
        <f t="shared" ref="O194:O251" ca="1" si="6">IF(A194&lt;&gt;"",NOW(),"")</f>
        <v>46324.554708333337</v>
      </c>
      <c r="P194" s="28" t="str">
        <f t="shared" ref="P194:P251" si="7">IF(N194&gt;=1000,"High",IF(N194&gt;=500,"Medium","Low"))</f>
        <v>Medium</v>
      </c>
    </row>
    <row r="195" spans="1:16" ht="15" thickBot="1">
      <c r="A195" s="5" t="s">
        <v>340</v>
      </c>
      <c r="B195" s="3">
        <v>45673</v>
      </c>
      <c r="C195" s="2" t="s">
        <v>211</v>
      </c>
      <c r="D195" s="2" t="s">
        <v>212</v>
      </c>
      <c r="E195" s="2" t="s">
        <v>105</v>
      </c>
      <c r="F195" s="2" t="s">
        <v>106</v>
      </c>
      <c r="G195" s="2" t="s">
        <v>46</v>
      </c>
      <c r="H195" s="20">
        <v>5</v>
      </c>
      <c r="I195" s="13">
        <v>299.99</v>
      </c>
      <c r="J195" s="2" t="s">
        <v>57</v>
      </c>
      <c r="K195" s="2" t="s">
        <v>21</v>
      </c>
      <c r="L195" s="2" t="s">
        <v>22</v>
      </c>
      <c r="M195" s="3">
        <v>44431</v>
      </c>
      <c r="N195" s="17">
        <v>1499.95</v>
      </c>
      <c r="O195" s="27">
        <f t="shared" ca="1" si="6"/>
        <v>46324.554708333337</v>
      </c>
      <c r="P195" s="28" t="str">
        <f t="shared" si="7"/>
        <v>High</v>
      </c>
    </row>
    <row r="196" spans="1:16" ht="15" thickBot="1">
      <c r="A196" s="5" t="s">
        <v>341</v>
      </c>
      <c r="B196" s="3">
        <v>45673</v>
      </c>
      <c r="C196" s="2" t="s">
        <v>59</v>
      </c>
      <c r="D196" s="2" t="s">
        <v>60</v>
      </c>
      <c r="E196" s="2" t="s">
        <v>44</v>
      </c>
      <c r="F196" s="2" t="s">
        <v>45</v>
      </c>
      <c r="G196" s="2" t="s">
        <v>46</v>
      </c>
      <c r="H196" s="20">
        <v>3</v>
      </c>
      <c r="I196" s="13">
        <v>149.99</v>
      </c>
      <c r="J196" s="2" t="s">
        <v>26</v>
      </c>
      <c r="K196" s="2" t="s">
        <v>63</v>
      </c>
      <c r="L196" s="2" t="s">
        <v>36</v>
      </c>
      <c r="M196" s="3">
        <v>44395</v>
      </c>
      <c r="N196" s="17">
        <v>449.97</v>
      </c>
      <c r="O196" s="27">
        <f t="shared" ca="1" si="6"/>
        <v>46324.554708333337</v>
      </c>
      <c r="P196" s="28" t="str">
        <f t="shared" si="7"/>
        <v>Low</v>
      </c>
    </row>
    <row r="197" spans="1:16" ht="15" thickBot="1">
      <c r="A197" s="5" t="s">
        <v>342</v>
      </c>
      <c r="B197" s="3">
        <v>45676</v>
      </c>
      <c r="C197" s="2" t="s">
        <v>129</v>
      </c>
      <c r="D197" s="2" t="s">
        <v>130</v>
      </c>
      <c r="E197" s="2" t="s">
        <v>31</v>
      </c>
      <c r="F197" s="2" t="s">
        <v>32</v>
      </c>
      <c r="G197" s="2" t="s">
        <v>33</v>
      </c>
      <c r="H197" s="20">
        <v>5</v>
      </c>
      <c r="I197" s="13">
        <v>59.99</v>
      </c>
      <c r="J197" s="2" t="s">
        <v>57</v>
      </c>
      <c r="K197" s="2" t="s">
        <v>63</v>
      </c>
      <c r="L197" s="2" t="s">
        <v>22</v>
      </c>
      <c r="M197" s="3">
        <v>44642</v>
      </c>
      <c r="N197" s="17">
        <v>299.95</v>
      </c>
      <c r="O197" s="27">
        <f t="shared" ca="1" si="6"/>
        <v>46324.554708333337</v>
      </c>
      <c r="P197" s="28" t="str">
        <f t="shared" si="7"/>
        <v>Low</v>
      </c>
    </row>
    <row r="198" spans="1:16" ht="15" thickBot="1">
      <c r="A198" s="5" t="s">
        <v>343</v>
      </c>
      <c r="B198" s="3">
        <v>45682</v>
      </c>
      <c r="C198" s="2" t="s">
        <v>68</v>
      </c>
      <c r="D198" s="2" t="s">
        <v>69</v>
      </c>
      <c r="E198" s="2" t="s">
        <v>31</v>
      </c>
      <c r="F198" s="2" t="s">
        <v>32</v>
      </c>
      <c r="G198" s="2" t="s">
        <v>33</v>
      </c>
      <c r="H198" s="20">
        <v>4</v>
      </c>
      <c r="I198" s="13">
        <v>59.99</v>
      </c>
      <c r="J198" s="2" t="s">
        <v>57</v>
      </c>
      <c r="K198" s="2" t="s">
        <v>63</v>
      </c>
      <c r="L198" s="2" t="s">
        <v>36</v>
      </c>
      <c r="M198" s="3">
        <v>44564</v>
      </c>
      <c r="N198" s="17">
        <v>239.96</v>
      </c>
      <c r="O198" s="27">
        <f t="shared" ca="1" si="6"/>
        <v>46324.554708333337</v>
      </c>
      <c r="P198" s="28" t="str">
        <f t="shared" si="7"/>
        <v>Low</v>
      </c>
    </row>
    <row r="199" spans="1:16" ht="15" thickBot="1">
      <c r="A199" s="5" t="s">
        <v>344</v>
      </c>
      <c r="B199" s="3">
        <v>45683</v>
      </c>
      <c r="C199" s="2" t="s">
        <v>48</v>
      </c>
      <c r="D199" s="2" t="s">
        <v>49</v>
      </c>
      <c r="E199" s="2" t="s">
        <v>17</v>
      </c>
      <c r="F199" s="2" t="s">
        <v>18</v>
      </c>
      <c r="G199" s="2" t="s">
        <v>19</v>
      </c>
      <c r="H199" s="20">
        <v>4</v>
      </c>
      <c r="I199" s="13">
        <v>249.99</v>
      </c>
      <c r="J199" s="2" t="s">
        <v>57</v>
      </c>
      <c r="K199" s="2" t="s">
        <v>21</v>
      </c>
      <c r="L199" s="2" t="s">
        <v>27</v>
      </c>
      <c r="M199" s="3">
        <v>45217</v>
      </c>
      <c r="N199" s="17">
        <v>999.96</v>
      </c>
      <c r="O199" s="27">
        <f t="shared" ca="1" si="6"/>
        <v>46324.554708333337</v>
      </c>
      <c r="P199" s="28" t="str">
        <f t="shared" si="7"/>
        <v>Medium</v>
      </c>
    </row>
    <row r="200" spans="1:16" ht="15" thickBot="1">
      <c r="A200" s="5" t="s">
        <v>345</v>
      </c>
      <c r="B200" s="3">
        <v>45686</v>
      </c>
      <c r="C200" s="2" t="s">
        <v>252</v>
      </c>
      <c r="D200" s="2" t="s">
        <v>253</v>
      </c>
      <c r="E200" s="2" t="s">
        <v>61</v>
      </c>
      <c r="F200" s="2" t="s">
        <v>62</v>
      </c>
      <c r="G200" s="2" t="s">
        <v>19</v>
      </c>
      <c r="H200" s="20">
        <v>4</v>
      </c>
      <c r="I200" s="13">
        <v>899.99</v>
      </c>
      <c r="J200" s="2" t="s">
        <v>34</v>
      </c>
      <c r="K200" s="2" t="s">
        <v>21</v>
      </c>
      <c r="L200" s="2" t="s">
        <v>22</v>
      </c>
      <c r="M200" s="3">
        <v>44734</v>
      </c>
      <c r="N200" s="17">
        <v>3599.96</v>
      </c>
      <c r="O200" s="27">
        <f t="shared" ca="1" si="6"/>
        <v>46324.554708333337</v>
      </c>
      <c r="P200" s="28" t="str">
        <f t="shared" si="7"/>
        <v>High</v>
      </c>
    </row>
    <row r="201" spans="1:16" ht="15" thickBot="1">
      <c r="A201" s="5" t="s">
        <v>346</v>
      </c>
      <c r="B201" s="3">
        <v>45686</v>
      </c>
      <c r="C201" s="2" t="s">
        <v>86</v>
      </c>
      <c r="D201" s="2" t="s">
        <v>87</v>
      </c>
      <c r="E201" s="2" t="s">
        <v>105</v>
      </c>
      <c r="F201" s="2" t="s">
        <v>106</v>
      </c>
      <c r="G201" s="2" t="s">
        <v>46</v>
      </c>
      <c r="H201" s="20">
        <v>3</v>
      </c>
      <c r="I201" s="13">
        <v>299.99</v>
      </c>
      <c r="J201" s="2" t="s">
        <v>57</v>
      </c>
      <c r="K201" s="2" t="s">
        <v>50</v>
      </c>
      <c r="L201" s="2" t="s">
        <v>36</v>
      </c>
      <c r="M201" s="3">
        <v>44952</v>
      </c>
      <c r="N201" s="17">
        <v>899.97</v>
      </c>
      <c r="O201" s="27">
        <f t="shared" ca="1" si="6"/>
        <v>46324.554708333337</v>
      </c>
      <c r="P201" s="28" t="str">
        <f t="shared" si="7"/>
        <v>Medium</v>
      </c>
    </row>
    <row r="202" spans="1:16" ht="15" thickBot="1">
      <c r="A202" s="5" t="s">
        <v>347</v>
      </c>
      <c r="B202" s="3">
        <v>45686</v>
      </c>
      <c r="C202" s="2" t="s">
        <v>293</v>
      </c>
      <c r="D202" s="2" t="s">
        <v>294</v>
      </c>
      <c r="E202" s="2" t="s">
        <v>80</v>
      </c>
      <c r="F202" s="2" t="s">
        <v>81</v>
      </c>
      <c r="G202" s="2" t="s">
        <v>19</v>
      </c>
      <c r="H202" s="20">
        <v>2</v>
      </c>
      <c r="I202" s="13">
        <v>699.99</v>
      </c>
      <c r="J202" s="2" t="s">
        <v>57</v>
      </c>
      <c r="K202" s="2" t="s">
        <v>21</v>
      </c>
      <c r="L202" s="2" t="s">
        <v>27</v>
      </c>
      <c r="M202" s="3">
        <v>44681</v>
      </c>
      <c r="N202" s="17">
        <v>1399.98</v>
      </c>
      <c r="O202" s="27">
        <f t="shared" ca="1" si="6"/>
        <v>46324.554708333337</v>
      </c>
      <c r="P202" s="28" t="str">
        <f t="shared" si="7"/>
        <v>High</v>
      </c>
    </row>
    <row r="203" spans="1:16" ht="15" thickBot="1">
      <c r="A203" s="5" t="s">
        <v>348</v>
      </c>
      <c r="B203" s="3">
        <v>45688</v>
      </c>
      <c r="C203" s="2" t="s">
        <v>65</v>
      </c>
      <c r="D203" s="2" t="s">
        <v>66</v>
      </c>
      <c r="E203" s="2" t="s">
        <v>80</v>
      </c>
      <c r="F203" s="2" t="s">
        <v>81</v>
      </c>
      <c r="G203" s="2" t="s">
        <v>19</v>
      </c>
      <c r="H203" s="20">
        <v>4</v>
      </c>
      <c r="I203" s="13">
        <v>699.99</v>
      </c>
      <c r="J203" s="2" t="s">
        <v>57</v>
      </c>
      <c r="K203" s="2" t="s">
        <v>50</v>
      </c>
      <c r="L203" s="2" t="s">
        <v>27</v>
      </c>
      <c r="M203" s="3">
        <v>44692</v>
      </c>
      <c r="N203" s="17">
        <v>2799.96</v>
      </c>
      <c r="O203" s="27">
        <f t="shared" ca="1" si="6"/>
        <v>46324.554708333337</v>
      </c>
      <c r="P203" s="28" t="str">
        <f t="shared" si="7"/>
        <v>High</v>
      </c>
    </row>
    <row r="204" spans="1:16" ht="15" thickBot="1">
      <c r="A204" s="5" t="s">
        <v>349</v>
      </c>
      <c r="B204" s="3">
        <v>45688</v>
      </c>
      <c r="C204" s="2" t="s">
        <v>123</v>
      </c>
      <c r="D204" s="2" t="s">
        <v>124</v>
      </c>
      <c r="E204" s="2" t="s">
        <v>117</v>
      </c>
      <c r="F204" s="2" t="s">
        <v>118</v>
      </c>
      <c r="G204" s="2" t="s">
        <v>19</v>
      </c>
      <c r="H204" s="20">
        <v>2</v>
      </c>
      <c r="I204" s="13">
        <v>89.99</v>
      </c>
      <c r="J204" s="2" t="s">
        <v>57</v>
      </c>
      <c r="K204" s="2" t="s">
        <v>35</v>
      </c>
      <c r="L204" s="2" t="s">
        <v>22</v>
      </c>
      <c r="M204" s="3">
        <v>44777</v>
      </c>
      <c r="N204" s="17">
        <v>179.98</v>
      </c>
      <c r="O204" s="27">
        <f t="shared" ca="1" si="6"/>
        <v>46324.554708333337</v>
      </c>
      <c r="P204" s="28" t="str">
        <f t="shared" si="7"/>
        <v>Low</v>
      </c>
    </row>
    <row r="205" spans="1:16" ht="15" thickBot="1">
      <c r="A205" s="5" t="s">
        <v>350</v>
      </c>
      <c r="B205" s="3">
        <v>45688</v>
      </c>
      <c r="C205" s="2" t="s">
        <v>42</v>
      </c>
      <c r="D205" s="2" t="s">
        <v>43</v>
      </c>
      <c r="E205" s="2" t="s">
        <v>117</v>
      </c>
      <c r="F205" s="2" t="s">
        <v>118</v>
      </c>
      <c r="G205" s="2" t="s">
        <v>19</v>
      </c>
      <c r="H205" s="20">
        <v>3</v>
      </c>
      <c r="I205" s="13">
        <v>89.99</v>
      </c>
      <c r="J205" s="2" t="s">
        <v>57</v>
      </c>
      <c r="K205" s="2" t="s">
        <v>35</v>
      </c>
      <c r="L205" s="2" t="s">
        <v>27</v>
      </c>
      <c r="M205" s="3">
        <v>45307</v>
      </c>
      <c r="N205" s="17">
        <v>269.97000000000003</v>
      </c>
      <c r="O205" s="27">
        <f t="shared" ca="1" si="6"/>
        <v>46324.554708333337</v>
      </c>
      <c r="P205" s="28" t="str">
        <f t="shared" si="7"/>
        <v>Low</v>
      </c>
    </row>
    <row r="206" spans="1:16" ht="15" thickBot="1">
      <c r="A206" s="5" t="s">
        <v>351</v>
      </c>
      <c r="B206" s="3">
        <v>45692</v>
      </c>
      <c r="C206" s="2" t="s">
        <v>325</v>
      </c>
      <c r="D206" s="2" t="s">
        <v>326</v>
      </c>
      <c r="E206" s="2" t="s">
        <v>31</v>
      </c>
      <c r="F206" s="2" t="s">
        <v>32</v>
      </c>
      <c r="G206" s="2" t="s">
        <v>33</v>
      </c>
      <c r="H206" s="20">
        <v>1</v>
      </c>
      <c r="I206" s="13">
        <v>59.99</v>
      </c>
      <c r="J206" s="2" t="s">
        <v>57</v>
      </c>
      <c r="K206" s="2" t="s">
        <v>21</v>
      </c>
      <c r="L206" s="2" t="s">
        <v>36</v>
      </c>
      <c r="M206" s="3">
        <v>45045</v>
      </c>
      <c r="N206" s="17">
        <v>59.99</v>
      </c>
      <c r="O206" s="27">
        <f t="shared" ca="1" si="6"/>
        <v>46324.554708333337</v>
      </c>
      <c r="P206" s="28" t="str">
        <f t="shared" si="7"/>
        <v>Low</v>
      </c>
    </row>
    <row r="207" spans="1:16" ht="15" thickBot="1">
      <c r="A207" s="5" t="s">
        <v>352</v>
      </c>
      <c r="B207" s="3">
        <v>45695</v>
      </c>
      <c r="C207" s="2" t="s">
        <v>246</v>
      </c>
      <c r="D207" s="2" t="s">
        <v>247</v>
      </c>
      <c r="E207" s="2" t="s">
        <v>44</v>
      </c>
      <c r="F207" s="2" t="s">
        <v>45</v>
      </c>
      <c r="G207" s="2" t="s">
        <v>46</v>
      </c>
      <c r="H207" s="20">
        <v>3</v>
      </c>
      <c r="I207" s="13">
        <v>149.99</v>
      </c>
      <c r="J207" s="2" t="s">
        <v>57</v>
      </c>
      <c r="K207" s="2" t="s">
        <v>40</v>
      </c>
      <c r="L207" s="2" t="s">
        <v>27</v>
      </c>
      <c r="M207" s="3">
        <v>44564</v>
      </c>
      <c r="N207" s="17">
        <v>449.97</v>
      </c>
      <c r="O207" s="27">
        <f t="shared" ca="1" si="6"/>
        <v>46324.554708333337</v>
      </c>
      <c r="P207" s="28" t="str">
        <f t="shared" si="7"/>
        <v>Low</v>
      </c>
    </row>
    <row r="208" spans="1:16" ht="15" thickBot="1">
      <c r="A208" s="5" t="s">
        <v>353</v>
      </c>
      <c r="B208" s="3">
        <v>45695</v>
      </c>
      <c r="C208" s="2" t="s">
        <v>93</v>
      </c>
      <c r="D208" s="2" t="s">
        <v>94</v>
      </c>
      <c r="E208" s="2" t="s">
        <v>105</v>
      </c>
      <c r="F208" s="2" t="s">
        <v>106</v>
      </c>
      <c r="G208" s="2" t="s">
        <v>46</v>
      </c>
      <c r="H208" s="20">
        <v>5</v>
      </c>
      <c r="I208" s="13">
        <v>299.99</v>
      </c>
      <c r="J208" s="2" t="s">
        <v>26</v>
      </c>
      <c r="K208" s="2" t="s">
        <v>35</v>
      </c>
      <c r="L208" s="2" t="s">
        <v>22</v>
      </c>
      <c r="M208" s="3">
        <v>44959</v>
      </c>
      <c r="N208" s="17">
        <v>1499.95</v>
      </c>
      <c r="O208" s="27">
        <f t="shared" ca="1" si="6"/>
        <v>46324.554708333337</v>
      </c>
      <c r="P208" s="28" t="str">
        <f t="shared" si="7"/>
        <v>High</v>
      </c>
    </row>
    <row r="209" spans="1:16" ht="15" thickBot="1">
      <c r="A209" s="5" t="s">
        <v>354</v>
      </c>
      <c r="B209" s="3">
        <v>45696</v>
      </c>
      <c r="C209" s="2" t="s">
        <v>150</v>
      </c>
      <c r="D209" s="2" t="s">
        <v>151</v>
      </c>
      <c r="E209" s="2" t="s">
        <v>31</v>
      </c>
      <c r="F209" s="2" t="s">
        <v>32</v>
      </c>
      <c r="G209" s="2" t="s">
        <v>33</v>
      </c>
      <c r="H209" s="20">
        <v>5</v>
      </c>
      <c r="I209" s="13">
        <v>59.99</v>
      </c>
      <c r="J209" s="2" t="s">
        <v>57</v>
      </c>
      <c r="K209" s="2" t="s">
        <v>21</v>
      </c>
      <c r="L209" s="2" t="s">
        <v>36</v>
      </c>
      <c r="M209" s="3">
        <v>45177</v>
      </c>
      <c r="N209" s="17">
        <v>299.95</v>
      </c>
      <c r="O209" s="27">
        <f t="shared" ca="1" si="6"/>
        <v>46324.554708333337</v>
      </c>
      <c r="P209" s="28" t="str">
        <f t="shared" si="7"/>
        <v>Low</v>
      </c>
    </row>
    <row r="210" spans="1:16" ht="15" thickBot="1">
      <c r="A210" s="5" t="s">
        <v>355</v>
      </c>
      <c r="B210" s="3">
        <v>45701</v>
      </c>
      <c r="C210" s="2" t="s">
        <v>108</v>
      </c>
      <c r="D210" s="2" t="s">
        <v>109</v>
      </c>
      <c r="E210" s="2" t="s">
        <v>114</v>
      </c>
      <c r="F210" s="2" t="s">
        <v>115</v>
      </c>
      <c r="G210" s="2" t="s">
        <v>33</v>
      </c>
      <c r="H210" s="20">
        <v>3</v>
      </c>
      <c r="I210" s="13">
        <v>79.989999999999995</v>
      </c>
      <c r="J210" s="2" t="s">
        <v>20</v>
      </c>
      <c r="K210" s="2" t="s">
        <v>63</v>
      </c>
      <c r="L210" s="2" t="s">
        <v>27</v>
      </c>
      <c r="M210" s="3">
        <v>44436</v>
      </c>
      <c r="N210" s="17">
        <v>239.97</v>
      </c>
      <c r="O210" s="27">
        <f t="shared" ca="1" si="6"/>
        <v>46324.554708333337</v>
      </c>
      <c r="P210" s="28" t="str">
        <f t="shared" si="7"/>
        <v>Low</v>
      </c>
    </row>
    <row r="211" spans="1:16" ht="15" thickBot="1">
      <c r="A211" s="5" t="s">
        <v>356</v>
      </c>
      <c r="B211" s="3">
        <v>45704</v>
      </c>
      <c r="C211" s="2" t="s">
        <v>29</v>
      </c>
      <c r="D211" s="2" t="s">
        <v>30</v>
      </c>
      <c r="E211" s="2" t="s">
        <v>126</v>
      </c>
      <c r="F211" s="2" t="s">
        <v>127</v>
      </c>
      <c r="G211" s="2" t="s">
        <v>46</v>
      </c>
      <c r="H211" s="20">
        <v>3</v>
      </c>
      <c r="I211" s="13">
        <v>199.99</v>
      </c>
      <c r="J211" s="2" t="s">
        <v>20</v>
      </c>
      <c r="K211" s="2" t="s">
        <v>21</v>
      </c>
      <c r="L211" s="2" t="s">
        <v>22</v>
      </c>
      <c r="M211" s="3">
        <v>44735</v>
      </c>
      <c r="N211" s="17">
        <v>599.97</v>
      </c>
      <c r="O211" s="27">
        <f t="shared" ca="1" si="6"/>
        <v>46324.554708333337</v>
      </c>
      <c r="P211" s="28" t="str">
        <f t="shared" si="7"/>
        <v>Medium</v>
      </c>
    </row>
    <row r="212" spans="1:16" ht="15" thickBot="1">
      <c r="A212" s="5" t="s">
        <v>357</v>
      </c>
      <c r="B212" s="3">
        <v>45704</v>
      </c>
      <c r="C212" s="2" t="s">
        <v>15</v>
      </c>
      <c r="D212" s="2" t="s">
        <v>16</v>
      </c>
      <c r="E212" s="2" t="s">
        <v>117</v>
      </c>
      <c r="F212" s="2" t="s">
        <v>118</v>
      </c>
      <c r="G212" s="2" t="s">
        <v>19</v>
      </c>
      <c r="H212" s="20">
        <v>2</v>
      </c>
      <c r="I212" s="13">
        <v>89.99</v>
      </c>
      <c r="J212" s="2" t="s">
        <v>34</v>
      </c>
      <c r="K212" s="2" t="s">
        <v>21</v>
      </c>
      <c r="L212" s="2" t="s">
        <v>22</v>
      </c>
      <c r="M212" s="3">
        <v>45257</v>
      </c>
      <c r="N212" s="17">
        <v>179.98</v>
      </c>
      <c r="O212" s="27">
        <f t="shared" ca="1" si="6"/>
        <v>46324.554708333337</v>
      </c>
      <c r="P212" s="28" t="str">
        <f t="shared" si="7"/>
        <v>Low</v>
      </c>
    </row>
    <row r="213" spans="1:16" ht="15" thickBot="1">
      <c r="A213" s="5" t="s">
        <v>358</v>
      </c>
      <c r="B213" s="3">
        <v>45705</v>
      </c>
      <c r="C213" s="2" t="s">
        <v>259</v>
      </c>
      <c r="D213" s="2" t="s">
        <v>260</v>
      </c>
      <c r="E213" s="2" t="s">
        <v>44</v>
      </c>
      <c r="F213" s="2" t="s">
        <v>45</v>
      </c>
      <c r="G213" s="2" t="s">
        <v>46</v>
      </c>
      <c r="H213" s="20">
        <v>2</v>
      </c>
      <c r="I213" s="13">
        <v>149.99</v>
      </c>
      <c r="J213" s="2" t="s">
        <v>20</v>
      </c>
      <c r="K213" s="2" t="s">
        <v>35</v>
      </c>
      <c r="L213" s="2" t="s">
        <v>27</v>
      </c>
      <c r="M213" s="3">
        <v>44728</v>
      </c>
      <c r="N213" s="17">
        <v>299.98</v>
      </c>
      <c r="O213" s="27">
        <f t="shared" ca="1" si="6"/>
        <v>46324.554708333337</v>
      </c>
      <c r="P213" s="28" t="str">
        <f t="shared" si="7"/>
        <v>Low</v>
      </c>
    </row>
    <row r="214" spans="1:16" ht="15" thickBot="1">
      <c r="A214" s="5" t="s">
        <v>359</v>
      </c>
      <c r="B214" s="3">
        <v>45707</v>
      </c>
      <c r="C214" s="2" t="s">
        <v>123</v>
      </c>
      <c r="D214" s="2" t="s">
        <v>124</v>
      </c>
      <c r="E214" s="2" t="s">
        <v>80</v>
      </c>
      <c r="F214" s="2" t="s">
        <v>81</v>
      </c>
      <c r="G214" s="2" t="s">
        <v>19</v>
      </c>
      <c r="H214" s="20">
        <v>5</v>
      </c>
      <c r="I214" s="13">
        <v>699.99</v>
      </c>
      <c r="J214" s="2" t="s">
        <v>34</v>
      </c>
      <c r="K214" s="2" t="s">
        <v>35</v>
      </c>
      <c r="L214" s="2" t="s">
        <v>27</v>
      </c>
      <c r="M214" s="3">
        <v>45352</v>
      </c>
      <c r="N214" s="17">
        <v>3499.95</v>
      </c>
      <c r="O214" s="27">
        <f t="shared" ca="1" si="6"/>
        <v>46324.554708333337</v>
      </c>
      <c r="P214" s="28" t="str">
        <f t="shared" si="7"/>
        <v>High</v>
      </c>
    </row>
    <row r="215" spans="1:16" ht="15" thickBot="1">
      <c r="A215" s="5" t="s">
        <v>360</v>
      </c>
      <c r="B215" s="3">
        <v>45707</v>
      </c>
      <c r="C215" s="2" t="s">
        <v>42</v>
      </c>
      <c r="D215" s="2" t="s">
        <v>43</v>
      </c>
      <c r="E215" s="2" t="s">
        <v>44</v>
      </c>
      <c r="F215" s="2" t="s">
        <v>45</v>
      </c>
      <c r="G215" s="2" t="s">
        <v>46</v>
      </c>
      <c r="H215" s="20">
        <v>3</v>
      </c>
      <c r="I215" s="13">
        <v>149.99</v>
      </c>
      <c r="J215" s="2" t="s">
        <v>34</v>
      </c>
      <c r="K215" s="2" t="s">
        <v>21</v>
      </c>
      <c r="L215" s="2" t="s">
        <v>36</v>
      </c>
      <c r="M215" s="3">
        <v>44633</v>
      </c>
      <c r="N215" s="17">
        <v>449.97</v>
      </c>
      <c r="O215" s="27">
        <f t="shared" ca="1" si="6"/>
        <v>46324.554708333337</v>
      </c>
      <c r="P215" s="28" t="str">
        <f t="shared" si="7"/>
        <v>Low</v>
      </c>
    </row>
    <row r="216" spans="1:16" ht="15" thickBot="1">
      <c r="A216" s="5" t="s">
        <v>361</v>
      </c>
      <c r="B216" s="3">
        <v>45708</v>
      </c>
      <c r="C216" s="2" t="s">
        <v>96</v>
      </c>
      <c r="D216" s="2" t="s">
        <v>97</v>
      </c>
      <c r="E216" s="2" t="s">
        <v>61</v>
      </c>
      <c r="F216" s="2" t="s">
        <v>62</v>
      </c>
      <c r="G216" s="2" t="s">
        <v>19</v>
      </c>
      <c r="H216" s="20">
        <v>3</v>
      </c>
      <c r="I216" s="13">
        <v>899.99</v>
      </c>
      <c r="J216" s="2" t="s">
        <v>20</v>
      </c>
      <c r="K216" s="2" t="s">
        <v>63</v>
      </c>
      <c r="L216" s="2" t="s">
        <v>36</v>
      </c>
      <c r="M216" s="3">
        <v>44613</v>
      </c>
      <c r="N216" s="17">
        <v>2699.97</v>
      </c>
      <c r="O216" s="27">
        <f t="shared" ca="1" si="6"/>
        <v>46324.554708333337</v>
      </c>
      <c r="P216" s="28" t="str">
        <f t="shared" si="7"/>
        <v>High</v>
      </c>
    </row>
    <row r="217" spans="1:16" ht="15" thickBot="1">
      <c r="A217" s="5" t="s">
        <v>362</v>
      </c>
      <c r="B217" s="3">
        <v>45708</v>
      </c>
      <c r="C217" s="2" t="s">
        <v>192</v>
      </c>
      <c r="D217" s="2" t="s">
        <v>193</v>
      </c>
      <c r="E217" s="2" t="s">
        <v>126</v>
      </c>
      <c r="F217" s="2" t="s">
        <v>127</v>
      </c>
      <c r="G217" s="2" t="s">
        <v>46</v>
      </c>
      <c r="H217" s="20">
        <v>3</v>
      </c>
      <c r="I217" s="13">
        <v>199.99</v>
      </c>
      <c r="J217" s="2" t="s">
        <v>20</v>
      </c>
      <c r="K217" s="2" t="s">
        <v>50</v>
      </c>
      <c r="L217" s="2" t="s">
        <v>27</v>
      </c>
      <c r="M217" s="3">
        <v>44823</v>
      </c>
      <c r="N217" s="17">
        <v>599.97</v>
      </c>
      <c r="O217" s="27">
        <f t="shared" ca="1" si="6"/>
        <v>46324.554708333337</v>
      </c>
      <c r="P217" s="28" t="str">
        <f t="shared" si="7"/>
        <v>Medium</v>
      </c>
    </row>
    <row r="218" spans="1:16" ht="15" thickBot="1">
      <c r="A218" s="5" t="s">
        <v>363</v>
      </c>
      <c r="B218" s="3">
        <v>45710</v>
      </c>
      <c r="C218" s="2" t="s">
        <v>55</v>
      </c>
      <c r="D218" s="2" t="s">
        <v>56</v>
      </c>
      <c r="E218" s="2" t="s">
        <v>105</v>
      </c>
      <c r="F218" s="2" t="s">
        <v>106</v>
      </c>
      <c r="G218" s="2" t="s">
        <v>46</v>
      </c>
      <c r="H218" s="20">
        <v>5</v>
      </c>
      <c r="I218" s="13">
        <v>299.99</v>
      </c>
      <c r="J218" s="2" t="s">
        <v>20</v>
      </c>
      <c r="K218" s="2" t="s">
        <v>50</v>
      </c>
      <c r="L218" s="2" t="s">
        <v>36</v>
      </c>
      <c r="M218" s="3">
        <v>45142</v>
      </c>
      <c r="N218" s="17">
        <v>1499.95</v>
      </c>
      <c r="O218" s="27">
        <f t="shared" ca="1" si="6"/>
        <v>46324.554708333337</v>
      </c>
      <c r="P218" s="28" t="str">
        <f t="shared" si="7"/>
        <v>High</v>
      </c>
    </row>
    <row r="219" spans="1:16" ht="15" thickBot="1">
      <c r="A219" s="5" t="s">
        <v>364</v>
      </c>
      <c r="B219" s="3">
        <v>45710</v>
      </c>
      <c r="C219" s="2" t="s">
        <v>150</v>
      </c>
      <c r="D219" s="2" t="s">
        <v>151</v>
      </c>
      <c r="E219" s="2" t="s">
        <v>80</v>
      </c>
      <c r="F219" s="2" t="s">
        <v>81</v>
      </c>
      <c r="G219" s="2" t="s">
        <v>19</v>
      </c>
      <c r="H219" s="20">
        <v>1</v>
      </c>
      <c r="I219" s="13">
        <v>699.99</v>
      </c>
      <c r="J219" s="2" t="s">
        <v>34</v>
      </c>
      <c r="K219" s="2" t="s">
        <v>50</v>
      </c>
      <c r="L219" s="2" t="s">
        <v>22</v>
      </c>
      <c r="M219" s="3">
        <v>44934</v>
      </c>
      <c r="N219" s="17">
        <v>699.99</v>
      </c>
      <c r="O219" s="27">
        <f t="shared" ca="1" si="6"/>
        <v>46324.554708333337</v>
      </c>
      <c r="P219" s="28" t="str">
        <f t="shared" si="7"/>
        <v>Medium</v>
      </c>
    </row>
    <row r="220" spans="1:16" ht="15" thickBot="1">
      <c r="A220" s="5" t="s">
        <v>365</v>
      </c>
      <c r="B220" s="3">
        <v>45711</v>
      </c>
      <c r="C220" s="2" t="s">
        <v>246</v>
      </c>
      <c r="D220" s="2" t="s">
        <v>247</v>
      </c>
      <c r="E220" s="2" t="s">
        <v>80</v>
      </c>
      <c r="F220" s="2" t="s">
        <v>81</v>
      </c>
      <c r="G220" s="2" t="s">
        <v>19</v>
      </c>
      <c r="H220" s="20">
        <v>1</v>
      </c>
      <c r="I220" s="13">
        <v>699.99</v>
      </c>
      <c r="J220" s="2" t="s">
        <v>20</v>
      </c>
      <c r="K220" s="2" t="s">
        <v>40</v>
      </c>
      <c r="L220" s="2" t="s">
        <v>27</v>
      </c>
      <c r="M220" s="3">
        <v>44583</v>
      </c>
      <c r="N220" s="17">
        <v>699.99</v>
      </c>
      <c r="O220" s="27">
        <f t="shared" ca="1" si="6"/>
        <v>46324.554708333337</v>
      </c>
      <c r="P220" s="28" t="str">
        <f t="shared" si="7"/>
        <v>Medium</v>
      </c>
    </row>
    <row r="221" spans="1:16" ht="15" thickBot="1">
      <c r="A221" s="5" t="s">
        <v>366</v>
      </c>
      <c r="B221" s="3">
        <v>45711</v>
      </c>
      <c r="C221" s="2" t="s">
        <v>325</v>
      </c>
      <c r="D221" s="2" t="s">
        <v>326</v>
      </c>
      <c r="E221" s="2" t="s">
        <v>44</v>
      </c>
      <c r="F221" s="2" t="s">
        <v>45</v>
      </c>
      <c r="G221" s="2" t="s">
        <v>46</v>
      </c>
      <c r="H221" s="20">
        <v>4</v>
      </c>
      <c r="I221" s="13">
        <v>149.99</v>
      </c>
      <c r="J221" s="2" t="s">
        <v>34</v>
      </c>
      <c r="K221" s="2" t="s">
        <v>40</v>
      </c>
      <c r="L221" s="2" t="s">
        <v>27</v>
      </c>
      <c r="M221" s="3">
        <v>44412</v>
      </c>
      <c r="N221" s="17">
        <v>599.96</v>
      </c>
      <c r="O221" s="27">
        <f t="shared" ca="1" si="6"/>
        <v>46324.554708333337</v>
      </c>
      <c r="P221" s="28" t="str">
        <f t="shared" si="7"/>
        <v>Medium</v>
      </c>
    </row>
    <row r="222" spans="1:16" ht="15" thickBot="1">
      <c r="A222" s="5" t="s">
        <v>367</v>
      </c>
      <c r="B222" s="3">
        <v>45711</v>
      </c>
      <c r="C222" s="2" t="s">
        <v>211</v>
      </c>
      <c r="D222" s="2" t="s">
        <v>212</v>
      </c>
      <c r="E222" s="2" t="s">
        <v>117</v>
      </c>
      <c r="F222" s="2" t="s">
        <v>118</v>
      </c>
      <c r="G222" s="2" t="s">
        <v>19</v>
      </c>
      <c r="H222" s="20">
        <v>5</v>
      </c>
      <c r="I222" s="13">
        <v>89.99</v>
      </c>
      <c r="J222" s="2" t="s">
        <v>34</v>
      </c>
      <c r="K222" s="2" t="s">
        <v>50</v>
      </c>
      <c r="L222" s="2" t="s">
        <v>27</v>
      </c>
      <c r="M222" s="3">
        <v>45140</v>
      </c>
      <c r="N222" s="17">
        <v>449.95</v>
      </c>
      <c r="O222" s="27">
        <f t="shared" ca="1" si="6"/>
        <v>46324.554708333337</v>
      </c>
      <c r="P222" s="28" t="str">
        <f t="shared" si="7"/>
        <v>Low</v>
      </c>
    </row>
    <row r="223" spans="1:16" ht="15" thickBot="1">
      <c r="A223" s="5" t="s">
        <v>368</v>
      </c>
      <c r="B223" s="3">
        <v>45712</v>
      </c>
      <c r="C223" s="2" t="s">
        <v>138</v>
      </c>
      <c r="D223" s="2" t="s">
        <v>139</v>
      </c>
      <c r="E223" s="2" t="s">
        <v>126</v>
      </c>
      <c r="F223" s="2" t="s">
        <v>127</v>
      </c>
      <c r="G223" s="2" t="s">
        <v>46</v>
      </c>
      <c r="H223" s="20">
        <v>2</v>
      </c>
      <c r="I223" s="13">
        <v>199.99</v>
      </c>
      <c r="J223" s="2" t="s">
        <v>20</v>
      </c>
      <c r="K223" s="2" t="s">
        <v>21</v>
      </c>
      <c r="L223" s="2" t="s">
        <v>27</v>
      </c>
      <c r="M223" s="3">
        <v>44573</v>
      </c>
      <c r="N223" s="17">
        <v>399.98</v>
      </c>
      <c r="O223" s="27">
        <f t="shared" ca="1" si="6"/>
        <v>46324.554708333337</v>
      </c>
      <c r="P223" s="28" t="str">
        <f t="shared" si="7"/>
        <v>Low</v>
      </c>
    </row>
    <row r="224" spans="1:16" ht="15" thickBot="1">
      <c r="A224" s="5" t="s">
        <v>369</v>
      </c>
      <c r="B224" s="3">
        <v>45715</v>
      </c>
      <c r="C224" s="2" t="s">
        <v>259</v>
      </c>
      <c r="D224" s="2" t="s">
        <v>260</v>
      </c>
      <c r="E224" s="2" t="s">
        <v>31</v>
      </c>
      <c r="F224" s="2" t="s">
        <v>32</v>
      </c>
      <c r="G224" s="2" t="s">
        <v>33</v>
      </c>
      <c r="H224" s="20">
        <v>4</v>
      </c>
      <c r="I224" s="13">
        <v>59.99</v>
      </c>
      <c r="J224" s="2" t="s">
        <v>20</v>
      </c>
      <c r="K224" s="2" t="s">
        <v>50</v>
      </c>
      <c r="L224" s="2" t="s">
        <v>36</v>
      </c>
      <c r="M224" s="3">
        <v>45070</v>
      </c>
      <c r="N224" s="17">
        <v>239.96</v>
      </c>
      <c r="O224" s="27">
        <f t="shared" ca="1" si="6"/>
        <v>46324.554708333337</v>
      </c>
      <c r="P224" s="28" t="str">
        <f t="shared" si="7"/>
        <v>Low</v>
      </c>
    </row>
    <row r="225" spans="1:16" ht="15" thickBot="1">
      <c r="A225" s="5" t="s">
        <v>370</v>
      </c>
      <c r="B225" s="3">
        <v>45715</v>
      </c>
      <c r="C225" s="2" t="s">
        <v>93</v>
      </c>
      <c r="D225" s="2" t="s">
        <v>94</v>
      </c>
      <c r="E225" s="2" t="s">
        <v>105</v>
      </c>
      <c r="F225" s="2" t="s">
        <v>106</v>
      </c>
      <c r="G225" s="2" t="s">
        <v>46</v>
      </c>
      <c r="H225" s="20">
        <v>2</v>
      </c>
      <c r="I225" s="13">
        <v>299.99</v>
      </c>
      <c r="J225" s="2" t="s">
        <v>34</v>
      </c>
      <c r="K225" s="2" t="s">
        <v>35</v>
      </c>
      <c r="L225" s="2" t="s">
        <v>22</v>
      </c>
      <c r="M225" s="3">
        <v>44576</v>
      </c>
      <c r="N225" s="17">
        <v>599.98</v>
      </c>
      <c r="O225" s="27">
        <f t="shared" ca="1" si="6"/>
        <v>46324.554708333337</v>
      </c>
      <c r="P225" s="28" t="str">
        <f t="shared" si="7"/>
        <v>Medium</v>
      </c>
    </row>
    <row r="226" spans="1:16" ht="15" thickBot="1">
      <c r="A226" s="5" t="s">
        <v>371</v>
      </c>
      <c r="B226" s="3">
        <v>45718</v>
      </c>
      <c r="C226" s="2" t="s">
        <v>55</v>
      </c>
      <c r="D226" s="2" t="s">
        <v>56</v>
      </c>
      <c r="E226" s="2" t="s">
        <v>44</v>
      </c>
      <c r="F226" s="2" t="s">
        <v>45</v>
      </c>
      <c r="G226" s="2" t="s">
        <v>46</v>
      </c>
      <c r="H226" s="20">
        <v>2</v>
      </c>
      <c r="I226" s="13">
        <v>149.99</v>
      </c>
      <c r="J226" s="2" t="s">
        <v>20</v>
      </c>
      <c r="K226" s="2" t="s">
        <v>21</v>
      </c>
      <c r="L226" s="2" t="s">
        <v>22</v>
      </c>
      <c r="M226" s="3">
        <v>45068</v>
      </c>
      <c r="N226" s="17">
        <v>299.98</v>
      </c>
      <c r="O226" s="27">
        <f t="shared" ca="1" si="6"/>
        <v>46324.554708333337</v>
      </c>
      <c r="P226" s="28" t="str">
        <f t="shared" si="7"/>
        <v>Low</v>
      </c>
    </row>
    <row r="227" spans="1:16" ht="15" thickBot="1">
      <c r="A227" s="5" t="s">
        <v>372</v>
      </c>
      <c r="B227" s="3">
        <v>45720</v>
      </c>
      <c r="C227" s="2" t="s">
        <v>226</v>
      </c>
      <c r="D227" s="2" t="s">
        <v>227</v>
      </c>
      <c r="E227" s="2" t="s">
        <v>80</v>
      </c>
      <c r="F227" s="2" t="s">
        <v>81</v>
      </c>
      <c r="G227" s="2" t="s">
        <v>19</v>
      </c>
      <c r="H227" s="20">
        <v>5</v>
      </c>
      <c r="I227" s="13">
        <v>699.99</v>
      </c>
      <c r="J227" s="2" t="s">
        <v>57</v>
      </c>
      <c r="K227" s="2" t="s">
        <v>63</v>
      </c>
      <c r="L227" s="2" t="s">
        <v>27</v>
      </c>
      <c r="M227" s="3">
        <v>45161</v>
      </c>
      <c r="N227" s="17">
        <v>3499.95</v>
      </c>
      <c r="O227" s="27">
        <f t="shared" ca="1" si="6"/>
        <v>46324.554708333337</v>
      </c>
      <c r="P227" s="28" t="str">
        <f t="shared" si="7"/>
        <v>High</v>
      </c>
    </row>
    <row r="228" spans="1:16" ht="15" thickBot="1">
      <c r="A228" s="5" t="s">
        <v>373</v>
      </c>
      <c r="B228" s="3">
        <v>45721</v>
      </c>
      <c r="C228" s="2" t="s">
        <v>75</v>
      </c>
      <c r="D228" s="2" t="s">
        <v>76</v>
      </c>
      <c r="E228" s="2" t="s">
        <v>31</v>
      </c>
      <c r="F228" s="2" t="s">
        <v>32</v>
      </c>
      <c r="G228" s="2" t="s">
        <v>33</v>
      </c>
      <c r="H228" s="20">
        <v>5</v>
      </c>
      <c r="I228" s="13">
        <v>59.99</v>
      </c>
      <c r="J228" s="2" t="s">
        <v>20</v>
      </c>
      <c r="K228" s="2" t="s">
        <v>50</v>
      </c>
      <c r="L228" s="2" t="s">
        <v>27</v>
      </c>
      <c r="M228" s="3">
        <v>45291</v>
      </c>
      <c r="N228" s="17">
        <v>299.95</v>
      </c>
      <c r="O228" s="27">
        <f t="shared" ca="1" si="6"/>
        <v>46324.554708333337</v>
      </c>
      <c r="P228" s="28" t="str">
        <f t="shared" si="7"/>
        <v>Low</v>
      </c>
    </row>
    <row r="229" spans="1:16" ht="15" thickBot="1">
      <c r="A229" s="5" t="s">
        <v>374</v>
      </c>
      <c r="B229" s="3">
        <v>45723</v>
      </c>
      <c r="C229" s="2" t="s">
        <v>15</v>
      </c>
      <c r="D229" s="2" t="s">
        <v>16</v>
      </c>
      <c r="E229" s="2" t="s">
        <v>117</v>
      </c>
      <c r="F229" s="2" t="s">
        <v>118</v>
      </c>
      <c r="G229" s="2" t="s">
        <v>19</v>
      </c>
      <c r="H229" s="20">
        <v>2</v>
      </c>
      <c r="I229" s="13">
        <v>89.99</v>
      </c>
      <c r="J229" s="2" t="s">
        <v>26</v>
      </c>
      <c r="K229" s="2" t="s">
        <v>50</v>
      </c>
      <c r="L229" s="2" t="s">
        <v>27</v>
      </c>
      <c r="M229" s="3">
        <v>45295</v>
      </c>
      <c r="N229" s="17">
        <v>179.98</v>
      </c>
      <c r="O229" s="27">
        <f t="shared" ca="1" si="6"/>
        <v>46324.554708333337</v>
      </c>
      <c r="P229" s="28" t="str">
        <f t="shared" si="7"/>
        <v>Low</v>
      </c>
    </row>
    <row r="230" spans="1:16" ht="15" thickBot="1">
      <c r="A230" s="5" t="s">
        <v>375</v>
      </c>
      <c r="B230" s="3">
        <v>45723</v>
      </c>
      <c r="C230" s="2" t="s">
        <v>120</v>
      </c>
      <c r="D230" s="2" t="s">
        <v>121</v>
      </c>
      <c r="E230" s="2" t="s">
        <v>17</v>
      </c>
      <c r="F230" s="2" t="s">
        <v>18</v>
      </c>
      <c r="G230" s="2" t="s">
        <v>19</v>
      </c>
      <c r="H230" s="20">
        <v>5</v>
      </c>
      <c r="I230" s="13">
        <v>249.99</v>
      </c>
      <c r="J230" s="2" t="s">
        <v>20</v>
      </c>
      <c r="K230" s="2" t="s">
        <v>63</v>
      </c>
      <c r="L230" s="2" t="s">
        <v>36</v>
      </c>
      <c r="M230" s="3">
        <v>44540</v>
      </c>
      <c r="N230" s="17">
        <v>1249.95</v>
      </c>
      <c r="O230" s="27">
        <f t="shared" ca="1" si="6"/>
        <v>46324.554708333337</v>
      </c>
      <c r="P230" s="28" t="str">
        <f t="shared" si="7"/>
        <v>High</v>
      </c>
    </row>
    <row r="231" spans="1:16" ht="15" thickBot="1">
      <c r="A231" s="5" t="s">
        <v>376</v>
      </c>
      <c r="B231" s="3">
        <v>45724</v>
      </c>
      <c r="C231" s="2" t="s">
        <v>226</v>
      </c>
      <c r="D231" s="2" t="s">
        <v>227</v>
      </c>
      <c r="E231" s="2" t="s">
        <v>44</v>
      </c>
      <c r="F231" s="2" t="s">
        <v>45</v>
      </c>
      <c r="G231" s="2" t="s">
        <v>46</v>
      </c>
      <c r="H231" s="20">
        <v>2</v>
      </c>
      <c r="I231" s="13">
        <v>149.99</v>
      </c>
      <c r="J231" s="2" t="s">
        <v>34</v>
      </c>
      <c r="K231" s="2" t="s">
        <v>21</v>
      </c>
      <c r="L231" s="2" t="s">
        <v>27</v>
      </c>
      <c r="M231" s="3">
        <v>44632</v>
      </c>
      <c r="N231" s="17">
        <v>299.98</v>
      </c>
      <c r="O231" s="27">
        <f t="shared" ca="1" si="6"/>
        <v>46324.554708333337</v>
      </c>
      <c r="P231" s="28" t="str">
        <f t="shared" si="7"/>
        <v>Low</v>
      </c>
    </row>
    <row r="232" spans="1:16" ht="15" thickBot="1">
      <c r="A232" s="5" t="s">
        <v>377</v>
      </c>
      <c r="B232" s="3">
        <v>45724</v>
      </c>
      <c r="C232" s="2" t="s">
        <v>144</v>
      </c>
      <c r="D232" s="2" t="s">
        <v>145</v>
      </c>
      <c r="E232" s="2" t="s">
        <v>61</v>
      </c>
      <c r="F232" s="2" t="s">
        <v>62</v>
      </c>
      <c r="G232" s="2" t="s">
        <v>19</v>
      </c>
      <c r="H232" s="20">
        <v>5</v>
      </c>
      <c r="I232" s="13">
        <v>899.99</v>
      </c>
      <c r="J232" s="2" t="s">
        <v>34</v>
      </c>
      <c r="K232" s="2" t="s">
        <v>63</v>
      </c>
      <c r="L232" s="2" t="s">
        <v>27</v>
      </c>
      <c r="M232" s="3">
        <v>45389</v>
      </c>
      <c r="N232" s="17">
        <v>4499.95</v>
      </c>
      <c r="O232" s="27">
        <f t="shared" ca="1" si="6"/>
        <v>46324.554708333337</v>
      </c>
      <c r="P232" s="28" t="str">
        <f t="shared" si="7"/>
        <v>High</v>
      </c>
    </row>
    <row r="233" spans="1:16" ht="15" thickBot="1">
      <c r="A233" s="5" t="s">
        <v>378</v>
      </c>
      <c r="B233" s="3">
        <v>45724</v>
      </c>
      <c r="C233" s="2" t="s">
        <v>55</v>
      </c>
      <c r="D233" s="2" t="s">
        <v>56</v>
      </c>
      <c r="E233" s="2" t="s">
        <v>44</v>
      </c>
      <c r="F233" s="2" t="s">
        <v>45</v>
      </c>
      <c r="G233" s="2" t="s">
        <v>46</v>
      </c>
      <c r="H233" s="20">
        <v>4</v>
      </c>
      <c r="I233" s="13">
        <v>149.99</v>
      </c>
      <c r="J233" s="2" t="s">
        <v>20</v>
      </c>
      <c r="K233" s="2" t="s">
        <v>21</v>
      </c>
      <c r="L233" s="2" t="s">
        <v>36</v>
      </c>
      <c r="M233" s="3">
        <v>45263</v>
      </c>
      <c r="N233" s="17">
        <v>599.96</v>
      </c>
      <c r="O233" s="27">
        <f t="shared" ca="1" si="6"/>
        <v>46324.554708333337</v>
      </c>
      <c r="P233" s="28" t="str">
        <f t="shared" si="7"/>
        <v>Medium</v>
      </c>
    </row>
    <row r="234" spans="1:16" ht="15" thickBot="1">
      <c r="A234" s="5" t="s">
        <v>379</v>
      </c>
      <c r="B234" s="3">
        <v>45726</v>
      </c>
      <c r="C234" s="2" t="s">
        <v>144</v>
      </c>
      <c r="D234" s="2" t="s">
        <v>145</v>
      </c>
      <c r="E234" s="2" t="s">
        <v>17</v>
      </c>
      <c r="F234" s="2" t="s">
        <v>18</v>
      </c>
      <c r="G234" s="2" t="s">
        <v>19</v>
      </c>
      <c r="H234" s="20">
        <v>1</v>
      </c>
      <c r="I234" s="13">
        <v>249.99</v>
      </c>
      <c r="J234" s="2" t="s">
        <v>20</v>
      </c>
      <c r="K234" s="2" t="s">
        <v>40</v>
      </c>
      <c r="L234" s="2" t="s">
        <v>36</v>
      </c>
      <c r="M234" s="3">
        <v>45117</v>
      </c>
      <c r="N234" s="17">
        <v>249.99</v>
      </c>
      <c r="O234" s="27">
        <f t="shared" ca="1" si="6"/>
        <v>46324.554708333337</v>
      </c>
      <c r="P234" s="28" t="str">
        <f t="shared" si="7"/>
        <v>Low</v>
      </c>
    </row>
    <row r="235" spans="1:16" ht="15" thickBot="1">
      <c r="A235" s="5" t="s">
        <v>380</v>
      </c>
      <c r="B235" s="3">
        <v>45734</v>
      </c>
      <c r="C235" s="2" t="s">
        <v>192</v>
      </c>
      <c r="D235" s="2" t="s">
        <v>193</v>
      </c>
      <c r="E235" s="2" t="s">
        <v>31</v>
      </c>
      <c r="F235" s="2" t="s">
        <v>32</v>
      </c>
      <c r="G235" s="2" t="s">
        <v>33</v>
      </c>
      <c r="H235" s="20">
        <v>2</v>
      </c>
      <c r="I235" s="13">
        <v>59.99</v>
      </c>
      <c r="J235" s="2" t="s">
        <v>26</v>
      </c>
      <c r="K235" s="2" t="s">
        <v>50</v>
      </c>
      <c r="L235" s="2" t="s">
        <v>22</v>
      </c>
      <c r="M235" s="3">
        <v>45193</v>
      </c>
      <c r="N235" s="17">
        <v>119.98</v>
      </c>
      <c r="O235" s="27">
        <f t="shared" ca="1" si="6"/>
        <v>46324.554708333337</v>
      </c>
      <c r="P235" s="28" t="str">
        <f t="shared" si="7"/>
        <v>Low</v>
      </c>
    </row>
    <row r="236" spans="1:16" ht="15" thickBot="1">
      <c r="A236" s="5" t="s">
        <v>381</v>
      </c>
      <c r="B236" s="3">
        <v>45737</v>
      </c>
      <c r="C236" s="2" t="s">
        <v>132</v>
      </c>
      <c r="D236" s="2" t="s">
        <v>133</v>
      </c>
      <c r="E236" s="2" t="s">
        <v>44</v>
      </c>
      <c r="F236" s="2" t="s">
        <v>45</v>
      </c>
      <c r="G236" s="2" t="s">
        <v>46</v>
      </c>
      <c r="H236" s="20">
        <v>2</v>
      </c>
      <c r="I236" s="13">
        <v>149.99</v>
      </c>
      <c r="J236" s="2" t="s">
        <v>20</v>
      </c>
      <c r="K236" s="2" t="s">
        <v>50</v>
      </c>
      <c r="L236" s="2" t="s">
        <v>27</v>
      </c>
      <c r="M236" s="3">
        <v>45233</v>
      </c>
      <c r="N236" s="17">
        <v>299.98</v>
      </c>
      <c r="O236" s="27">
        <f t="shared" ca="1" si="6"/>
        <v>46324.554708333337</v>
      </c>
      <c r="P236" s="28" t="str">
        <f t="shared" si="7"/>
        <v>Low</v>
      </c>
    </row>
    <row r="237" spans="1:16" ht="15" thickBot="1">
      <c r="A237" s="5" t="s">
        <v>382</v>
      </c>
      <c r="B237" s="3">
        <v>45737</v>
      </c>
      <c r="C237" s="2" t="s">
        <v>150</v>
      </c>
      <c r="D237" s="2" t="s">
        <v>151</v>
      </c>
      <c r="E237" s="2" t="s">
        <v>61</v>
      </c>
      <c r="F237" s="2" t="s">
        <v>62</v>
      </c>
      <c r="G237" s="2" t="s">
        <v>19</v>
      </c>
      <c r="H237" s="20">
        <v>3</v>
      </c>
      <c r="I237" s="13">
        <v>899.99</v>
      </c>
      <c r="J237" s="2" t="s">
        <v>57</v>
      </c>
      <c r="K237" s="2" t="s">
        <v>40</v>
      </c>
      <c r="L237" s="2" t="s">
        <v>27</v>
      </c>
      <c r="M237" s="3">
        <v>44876</v>
      </c>
      <c r="N237" s="17">
        <v>2699.97</v>
      </c>
      <c r="O237" s="27">
        <f t="shared" ca="1" si="6"/>
        <v>46324.554708333337</v>
      </c>
      <c r="P237" s="28" t="str">
        <f t="shared" si="7"/>
        <v>High</v>
      </c>
    </row>
    <row r="238" spans="1:16" ht="15" thickBot="1">
      <c r="A238" s="5" t="s">
        <v>383</v>
      </c>
      <c r="B238" s="3">
        <v>45737</v>
      </c>
      <c r="C238" s="2" t="s">
        <v>48</v>
      </c>
      <c r="D238" s="2" t="s">
        <v>49</v>
      </c>
      <c r="E238" s="2" t="s">
        <v>61</v>
      </c>
      <c r="F238" s="2" t="s">
        <v>62</v>
      </c>
      <c r="G238" s="2" t="s">
        <v>19</v>
      </c>
      <c r="H238" s="20">
        <v>3</v>
      </c>
      <c r="I238" s="13">
        <v>899.99</v>
      </c>
      <c r="J238" s="2" t="s">
        <v>34</v>
      </c>
      <c r="K238" s="2" t="s">
        <v>40</v>
      </c>
      <c r="L238" s="2" t="s">
        <v>22</v>
      </c>
      <c r="M238" s="3">
        <v>44975</v>
      </c>
      <c r="N238" s="17">
        <v>2699.97</v>
      </c>
      <c r="O238" s="27">
        <f t="shared" ca="1" si="6"/>
        <v>46324.554708333337</v>
      </c>
      <c r="P238" s="28" t="str">
        <f t="shared" si="7"/>
        <v>High</v>
      </c>
    </row>
    <row r="239" spans="1:16" ht="15" thickBot="1">
      <c r="A239" s="5" t="s">
        <v>384</v>
      </c>
      <c r="B239" s="3">
        <v>45739</v>
      </c>
      <c r="C239" s="2" t="s">
        <v>15</v>
      </c>
      <c r="D239" s="2" t="s">
        <v>16</v>
      </c>
      <c r="E239" s="2" t="s">
        <v>105</v>
      </c>
      <c r="F239" s="2" t="s">
        <v>106</v>
      </c>
      <c r="G239" s="2" t="s">
        <v>46</v>
      </c>
      <c r="H239" s="20">
        <v>3</v>
      </c>
      <c r="I239" s="13">
        <v>299.99</v>
      </c>
      <c r="J239" s="2" t="s">
        <v>26</v>
      </c>
      <c r="K239" s="2" t="s">
        <v>50</v>
      </c>
      <c r="L239" s="2" t="s">
        <v>27</v>
      </c>
      <c r="M239" s="3">
        <v>45234</v>
      </c>
      <c r="N239" s="17">
        <v>899.97</v>
      </c>
      <c r="O239" s="27">
        <f t="shared" ca="1" si="6"/>
        <v>46324.554708333337</v>
      </c>
      <c r="P239" s="28" t="str">
        <f t="shared" si="7"/>
        <v>Medium</v>
      </c>
    </row>
    <row r="240" spans="1:16" ht="15" thickBot="1">
      <c r="A240" s="5" t="s">
        <v>385</v>
      </c>
      <c r="B240" s="3">
        <v>45740</v>
      </c>
      <c r="C240" s="2" t="s">
        <v>386</v>
      </c>
      <c r="D240" s="2" t="s">
        <v>387</v>
      </c>
      <c r="E240" s="2" t="s">
        <v>44</v>
      </c>
      <c r="F240" s="2" t="s">
        <v>45</v>
      </c>
      <c r="G240" s="2" t="s">
        <v>46</v>
      </c>
      <c r="H240" s="20">
        <v>4</v>
      </c>
      <c r="I240" s="13">
        <v>149.99</v>
      </c>
      <c r="J240" s="2" t="s">
        <v>34</v>
      </c>
      <c r="K240" s="2" t="s">
        <v>50</v>
      </c>
      <c r="L240" s="2" t="s">
        <v>36</v>
      </c>
      <c r="M240" s="3">
        <v>44560</v>
      </c>
      <c r="N240" s="17">
        <v>599.96</v>
      </c>
      <c r="O240" s="27">
        <f t="shared" ca="1" si="6"/>
        <v>46324.554708333337</v>
      </c>
      <c r="P240" s="28" t="str">
        <f t="shared" si="7"/>
        <v>Medium</v>
      </c>
    </row>
    <row r="241" spans="1:16" ht="15" thickBot="1">
      <c r="A241" s="5" t="s">
        <v>388</v>
      </c>
      <c r="B241" s="3">
        <v>45743</v>
      </c>
      <c r="C241" s="2" t="s">
        <v>102</v>
      </c>
      <c r="D241" s="2" t="s">
        <v>103</v>
      </c>
      <c r="E241" s="2" t="s">
        <v>114</v>
      </c>
      <c r="F241" s="2" t="s">
        <v>115</v>
      </c>
      <c r="G241" s="2" t="s">
        <v>33</v>
      </c>
      <c r="H241" s="20">
        <v>4</v>
      </c>
      <c r="I241" s="13">
        <v>79.989999999999995</v>
      </c>
      <c r="J241" s="2" t="s">
        <v>26</v>
      </c>
      <c r="K241" s="2" t="s">
        <v>21</v>
      </c>
      <c r="L241" s="2" t="s">
        <v>22</v>
      </c>
      <c r="M241" s="3">
        <v>45288</v>
      </c>
      <c r="N241" s="17">
        <v>319.95999999999998</v>
      </c>
      <c r="O241" s="27">
        <f t="shared" ca="1" si="6"/>
        <v>46324.554708333337</v>
      </c>
      <c r="P241" s="28" t="str">
        <f t="shared" si="7"/>
        <v>Low</v>
      </c>
    </row>
    <row r="242" spans="1:16" ht="15" thickBot="1">
      <c r="A242" s="5" t="s">
        <v>389</v>
      </c>
      <c r="B242" s="3">
        <v>45745</v>
      </c>
      <c r="C242" s="2" t="s">
        <v>185</v>
      </c>
      <c r="D242" s="2" t="s">
        <v>186</v>
      </c>
      <c r="E242" s="2" t="s">
        <v>117</v>
      </c>
      <c r="F242" s="2" t="s">
        <v>118</v>
      </c>
      <c r="G242" s="2" t="s">
        <v>19</v>
      </c>
      <c r="H242" s="20">
        <v>5</v>
      </c>
      <c r="I242" s="13">
        <v>89.99</v>
      </c>
      <c r="J242" s="2" t="s">
        <v>34</v>
      </c>
      <c r="K242" s="2" t="s">
        <v>35</v>
      </c>
      <c r="L242" s="2" t="s">
        <v>22</v>
      </c>
      <c r="M242" s="3">
        <v>44704</v>
      </c>
      <c r="N242" s="17">
        <v>449.95</v>
      </c>
      <c r="O242" s="27">
        <f t="shared" ca="1" si="6"/>
        <v>46324.554708333337</v>
      </c>
      <c r="P242" s="28" t="str">
        <f t="shared" si="7"/>
        <v>Low</v>
      </c>
    </row>
    <row r="243" spans="1:16" ht="15" thickBot="1">
      <c r="A243" s="5" t="s">
        <v>390</v>
      </c>
      <c r="B243" s="3">
        <v>45746</v>
      </c>
      <c r="C243" s="2" t="s">
        <v>93</v>
      </c>
      <c r="D243" s="2" t="s">
        <v>94</v>
      </c>
      <c r="E243" s="2" t="s">
        <v>44</v>
      </c>
      <c r="F243" s="2" t="s">
        <v>45</v>
      </c>
      <c r="G243" s="2" t="s">
        <v>46</v>
      </c>
      <c r="H243" s="20">
        <v>3</v>
      </c>
      <c r="I243" s="13">
        <v>149.99</v>
      </c>
      <c r="J243" s="2" t="s">
        <v>34</v>
      </c>
      <c r="K243" s="2" t="s">
        <v>21</v>
      </c>
      <c r="L243" s="2" t="s">
        <v>36</v>
      </c>
      <c r="M243" s="3">
        <v>45171</v>
      </c>
      <c r="N243" s="17">
        <v>449.97</v>
      </c>
      <c r="O243" s="27">
        <f t="shared" ca="1" si="6"/>
        <v>46324.554708333337</v>
      </c>
      <c r="P243" s="28" t="str">
        <f t="shared" si="7"/>
        <v>Low</v>
      </c>
    </row>
    <row r="244" spans="1:16" ht="15" thickBot="1">
      <c r="A244" s="5" t="s">
        <v>391</v>
      </c>
      <c r="B244" s="3">
        <v>45746</v>
      </c>
      <c r="C244" s="2" t="s">
        <v>65</v>
      </c>
      <c r="D244" s="2" t="s">
        <v>66</v>
      </c>
      <c r="E244" s="2" t="s">
        <v>117</v>
      </c>
      <c r="F244" s="2" t="s">
        <v>118</v>
      </c>
      <c r="G244" s="2" t="s">
        <v>19</v>
      </c>
      <c r="H244" s="20">
        <v>2</v>
      </c>
      <c r="I244" s="13">
        <v>89.99</v>
      </c>
      <c r="J244" s="2" t="s">
        <v>57</v>
      </c>
      <c r="K244" s="2" t="s">
        <v>50</v>
      </c>
      <c r="L244" s="2" t="s">
        <v>27</v>
      </c>
      <c r="M244" s="3">
        <v>44522</v>
      </c>
      <c r="N244" s="17">
        <v>179.98</v>
      </c>
      <c r="O244" s="27">
        <f t="shared" ca="1" si="6"/>
        <v>46324.554708333337</v>
      </c>
      <c r="P244" s="28" t="str">
        <f t="shared" si="7"/>
        <v>Low</v>
      </c>
    </row>
    <row r="245" spans="1:16" ht="15" thickBot="1">
      <c r="A245" s="5" t="s">
        <v>392</v>
      </c>
      <c r="B245" s="3">
        <v>45748</v>
      </c>
      <c r="C245" s="2" t="s">
        <v>102</v>
      </c>
      <c r="D245" s="2" t="s">
        <v>103</v>
      </c>
      <c r="E245" s="2" t="s">
        <v>80</v>
      </c>
      <c r="F245" s="2" t="s">
        <v>81</v>
      </c>
      <c r="G245" s="2" t="s">
        <v>19</v>
      </c>
      <c r="H245" s="20">
        <v>2</v>
      </c>
      <c r="I245" s="13">
        <v>699.99</v>
      </c>
      <c r="J245" s="2" t="s">
        <v>34</v>
      </c>
      <c r="K245" s="2" t="s">
        <v>40</v>
      </c>
      <c r="L245" s="2" t="s">
        <v>36</v>
      </c>
      <c r="M245" s="3">
        <v>44618</v>
      </c>
      <c r="N245" s="17">
        <v>1399.98</v>
      </c>
      <c r="O245" s="27">
        <f t="shared" ca="1" si="6"/>
        <v>46324.554708333337</v>
      </c>
      <c r="P245" s="28" t="str">
        <f t="shared" si="7"/>
        <v>High</v>
      </c>
    </row>
    <row r="246" spans="1:16" ht="15" thickBot="1">
      <c r="A246" s="5" t="s">
        <v>393</v>
      </c>
      <c r="B246" s="3">
        <v>45749</v>
      </c>
      <c r="C246" s="2" t="s">
        <v>123</v>
      </c>
      <c r="D246" s="2" t="s">
        <v>124</v>
      </c>
      <c r="E246" s="2" t="s">
        <v>61</v>
      </c>
      <c r="F246" s="2" t="s">
        <v>62</v>
      </c>
      <c r="G246" s="2" t="s">
        <v>19</v>
      </c>
      <c r="H246" s="20">
        <v>3</v>
      </c>
      <c r="I246" s="13">
        <v>899.99</v>
      </c>
      <c r="J246" s="2" t="s">
        <v>20</v>
      </c>
      <c r="K246" s="2" t="s">
        <v>21</v>
      </c>
      <c r="L246" s="2" t="s">
        <v>36</v>
      </c>
      <c r="M246" s="3">
        <v>44953</v>
      </c>
      <c r="N246" s="17">
        <v>2699.97</v>
      </c>
      <c r="O246" s="27">
        <f t="shared" ca="1" si="6"/>
        <v>46324.554708333337</v>
      </c>
      <c r="P246" s="28" t="str">
        <f t="shared" si="7"/>
        <v>High</v>
      </c>
    </row>
    <row r="247" spans="1:16" ht="15" thickBot="1">
      <c r="A247" s="5" t="s">
        <v>394</v>
      </c>
      <c r="B247" s="3">
        <v>45755</v>
      </c>
      <c r="C247" s="2" t="s">
        <v>93</v>
      </c>
      <c r="D247" s="2" t="s">
        <v>94</v>
      </c>
      <c r="E247" s="2" t="s">
        <v>114</v>
      </c>
      <c r="F247" s="2" t="s">
        <v>115</v>
      </c>
      <c r="G247" s="2" t="s">
        <v>33</v>
      </c>
      <c r="H247" s="20">
        <v>3</v>
      </c>
      <c r="I247" s="13">
        <v>79.989999999999995</v>
      </c>
      <c r="J247" s="2" t="s">
        <v>26</v>
      </c>
      <c r="K247" s="2" t="s">
        <v>40</v>
      </c>
      <c r="L247" s="2" t="s">
        <v>22</v>
      </c>
      <c r="M247" s="3">
        <v>44511</v>
      </c>
      <c r="N247" s="17">
        <v>239.97</v>
      </c>
      <c r="O247" s="27">
        <f t="shared" ca="1" si="6"/>
        <v>46324.554708333337</v>
      </c>
      <c r="P247" s="28" t="str">
        <f t="shared" si="7"/>
        <v>Low</v>
      </c>
    </row>
    <row r="248" spans="1:16" ht="15" thickBot="1">
      <c r="A248" s="5" t="s">
        <v>395</v>
      </c>
      <c r="B248" s="3">
        <v>45756</v>
      </c>
      <c r="C248" s="2" t="s">
        <v>59</v>
      </c>
      <c r="D248" s="2" t="s">
        <v>60</v>
      </c>
      <c r="E248" s="2" t="s">
        <v>117</v>
      </c>
      <c r="F248" s="2" t="s">
        <v>118</v>
      </c>
      <c r="G248" s="2" t="s">
        <v>19</v>
      </c>
      <c r="H248" s="20">
        <v>1</v>
      </c>
      <c r="I248" s="13">
        <v>89.99</v>
      </c>
      <c r="J248" s="2" t="s">
        <v>57</v>
      </c>
      <c r="K248" s="2" t="s">
        <v>63</v>
      </c>
      <c r="L248" s="2" t="s">
        <v>22</v>
      </c>
      <c r="M248" s="3">
        <v>45346</v>
      </c>
      <c r="N248" s="17">
        <v>89.99</v>
      </c>
      <c r="O248" s="27">
        <f t="shared" ca="1" si="6"/>
        <v>46324.554708333337</v>
      </c>
      <c r="P248" s="28" t="str">
        <f t="shared" si="7"/>
        <v>Low</v>
      </c>
    </row>
    <row r="249" spans="1:16" ht="15" thickBot="1">
      <c r="A249" s="5" t="s">
        <v>396</v>
      </c>
      <c r="B249" s="3">
        <v>45758</v>
      </c>
      <c r="C249" s="2" t="s">
        <v>293</v>
      </c>
      <c r="D249" s="2" t="s">
        <v>294</v>
      </c>
      <c r="E249" s="2" t="s">
        <v>80</v>
      </c>
      <c r="F249" s="2" t="s">
        <v>81</v>
      </c>
      <c r="G249" s="2" t="s">
        <v>19</v>
      </c>
      <c r="H249" s="20">
        <v>3</v>
      </c>
      <c r="I249" s="13">
        <v>699.99</v>
      </c>
      <c r="J249" s="2" t="s">
        <v>34</v>
      </c>
      <c r="K249" s="2" t="s">
        <v>40</v>
      </c>
      <c r="L249" s="2" t="s">
        <v>22</v>
      </c>
      <c r="M249" s="3">
        <v>44909</v>
      </c>
      <c r="N249" s="17">
        <v>2099.9699999999998</v>
      </c>
      <c r="O249" s="27">
        <f t="shared" ca="1" si="6"/>
        <v>46324.554708333337</v>
      </c>
      <c r="P249" s="28" t="str">
        <f t="shared" si="7"/>
        <v>High</v>
      </c>
    </row>
    <row r="250" spans="1:16" ht="15" thickBot="1">
      <c r="A250" s="5" t="s">
        <v>397</v>
      </c>
      <c r="B250" s="3">
        <v>45758</v>
      </c>
      <c r="C250" s="2" t="s">
        <v>226</v>
      </c>
      <c r="D250" s="2" t="s">
        <v>227</v>
      </c>
      <c r="E250" s="2" t="s">
        <v>117</v>
      </c>
      <c r="F250" s="2" t="s">
        <v>118</v>
      </c>
      <c r="G250" s="2" t="s">
        <v>19</v>
      </c>
      <c r="H250" s="20">
        <v>2</v>
      </c>
      <c r="I250" s="13">
        <v>89.99</v>
      </c>
      <c r="J250" s="2" t="s">
        <v>57</v>
      </c>
      <c r="K250" s="2" t="s">
        <v>63</v>
      </c>
      <c r="L250" s="2" t="s">
        <v>22</v>
      </c>
      <c r="M250" s="3">
        <v>45088</v>
      </c>
      <c r="N250" s="17">
        <v>179.98</v>
      </c>
      <c r="O250" s="27">
        <f t="shared" ca="1" si="6"/>
        <v>46324.554708333337</v>
      </c>
      <c r="P250" s="28" t="str">
        <f t="shared" si="7"/>
        <v>Low</v>
      </c>
    </row>
    <row r="251" spans="1:16" ht="15" thickBot="1">
      <c r="A251" s="8" t="s">
        <v>398</v>
      </c>
      <c r="B251" s="9">
        <v>45758</v>
      </c>
      <c r="C251" s="10" t="s">
        <v>138</v>
      </c>
      <c r="D251" s="10" t="s">
        <v>139</v>
      </c>
      <c r="E251" s="10" t="s">
        <v>117</v>
      </c>
      <c r="F251" s="10" t="s">
        <v>118</v>
      </c>
      <c r="G251" s="10" t="s">
        <v>19</v>
      </c>
      <c r="H251" s="21">
        <v>3</v>
      </c>
      <c r="I251" s="14">
        <v>89.99</v>
      </c>
      <c r="J251" s="10" t="s">
        <v>57</v>
      </c>
      <c r="K251" s="10" t="s">
        <v>40</v>
      </c>
      <c r="L251" s="10" t="s">
        <v>27</v>
      </c>
      <c r="M251" s="9">
        <v>44878</v>
      </c>
      <c r="N251" s="18">
        <v>269.97000000000003</v>
      </c>
      <c r="O251" s="27">
        <f t="shared" ca="1" si="6"/>
        <v>46324.554708333337</v>
      </c>
      <c r="P251" s="28" t="str">
        <f t="shared" si="7"/>
        <v>Low</v>
      </c>
    </row>
  </sheetData>
  <phoneticPr fontId="10" type="noConversion"/>
  <conditionalFormatting sqref="N1:N1048576">
    <cfRule type="dataBar" priority="8">
      <dataBar>
        <cfvo type="min"/>
        <cfvo type="max"/>
        <color rgb="FF638EC6"/>
      </dataBar>
      <extLst>
        <ext xmlns:x14="http://schemas.microsoft.com/office/spreadsheetml/2009/9/main" uri="{B025F937-C7B1-47D3-B67F-A62EFF666E3E}">
          <x14:id>{E1D6082B-ED38-4718-A7BC-145D6472B79E}</x14:id>
        </ext>
      </extLst>
    </cfRule>
  </conditionalFormatting>
  <conditionalFormatting sqref="P2">
    <cfRule type="expression" dxfId="0" priority="5">
      <formula>$P$1="Medium"</formula>
    </cfRule>
  </conditionalFormatting>
  <pageMargins left="0.7" right="0.7" top="0.75" bottom="0.75" header="0.3" footer="0.3"/>
  <pageSetup orientation="portrait" r:id="rId1"/>
  <tableParts count="1">
    <tablePart r:id="rId2"/>
  </tableParts>
  <extLst>
    <ext xmlns:x14="http://schemas.microsoft.com/office/spreadsheetml/2009/9/main" uri="{78C0D931-6437-407d-A8EE-F0AAD7539E65}">
      <x14:conditionalFormattings>
        <x14:conditionalFormatting xmlns:xm="http://schemas.microsoft.com/office/excel/2006/main">
          <x14:cfRule type="iconSet" priority="6" id="{81558A74-76E7-4896-9ED2-07EAFD5D6AD0}">
            <x14:iconSet iconSet="3Arrows" custom="1">
              <x14:cfvo type="percent">
                <xm:f>0</xm:f>
              </x14:cfvo>
              <x14:cfvo type="num">
                <xm:f>500</xm:f>
              </x14:cfvo>
              <x14:cfvo type="num">
                <xm:f>1000</xm:f>
              </x14:cfvo>
              <x14:cfIcon iconSet="3Arrows" iconId="0"/>
              <x14:cfIcon iconSet="3Arrows" iconId="1"/>
              <x14:cfIcon iconSet="3Arrows" iconId="2"/>
            </x14:iconSet>
          </x14:cfRule>
          <x14:cfRule type="dataBar" id="{E1D6082B-ED38-4718-A7BC-145D6472B79E}">
            <x14:dataBar minLength="0" maxLength="100" border="1" negativeBarBorderColorSameAsPositive="0">
              <x14:cfvo type="autoMin"/>
              <x14:cfvo type="autoMax"/>
              <x14:borderColor rgb="FF638EC6"/>
              <x14:negativeFillColor rgb="FFFF0000"/>
              <x14:negativeBorderColor rgb="FFFF0000"/>
              <x14:axisColor rgb="FF000000"/>
            </x14:dataBar>
          </x14:cfRule>
          <xm:sqref>N1:N1048576</xm:sqref>
        </x14:conditionalFormatting>
        <x14:conditionalFormatting xmlns:xm="http://schemas.microsoft.com/office/excel/2006/main">
          <x14:cfRule type="containsText" priority="1" operator="containsText" id="{465B32B1-E451-4476-9F6D-316A11758F0A}">
            <xm:f>NOT(ISERROR(SEARCH($P$10,P1)))</xm:f>
            <xm:f>$P$10</xm:f>
            <x14:dxf>
              <font>
                <color rgb="FF9C0006"/>
              </font>
              <fill>
                <patternFill>
                  <bgColor rgb="FFFFC7CE"/>
                </patternFill>
              </fill>
            </x14:dxf>
          </x14:cfRule>
          <x14:cfRule type="containsText" priority="2" operator="containsText" id="{AEDA28DF-E793-47AE-982E-B049A0022E87}">
            <xm:f>NOT(ISERROR(SEARCH($P$4,P1)))</xm:f>
            <xm:f>$P$4</xm:f>
            <x14:dxf>
              <font>
                <color rgb="FF9C5700"/>
              </font>
              <fill>
                <patternFill>
                  <bgColor rgb="FFFFEB9C"/>
                </patternFill>
              </fill>
            </x14:dxf>
          </x14:cfRule>
          <x14:cfRule type="containsText" priority="3" operator="containsText" id="{ECD950F3-084F-45D1-94A1-CE262B212D65}">
            <xm:f>NOT(ISERROR(SEARCH($P$2,P1)))</xm:f>
            <xm:f>$P$2</xm:f>
            <x14:dxf>
              <font>
                <color rgb="FF006100"/>
              </font>
              <fill>
                <patternFill>
                  <bgColor rgb="FFC6EFCE"/>
                </patternFill>
              </fill>
            </x14:dxf>
          </x14:cfRule>
          <x14:cfRule type="containsText" priority="4" operator="containsText" id="{B69A0599-C052-4C17-AA3A-64E42B87AD4F}">
            <xm:f>NOT(ISERROR(SEARCH($P$2,P1)))</xm:f>
            <xm:f>$P$2</xm:f>
            <x14:dxf>
              <font>
                <color rgb="FF9C0006"/>
              </font>
              <fill>
                <patternFill>
                  <bgColor rgb="FFFFC7CE"/>
                </patternFill>
              </fill>
            </x14:dxf>
          </x14:cfRule>
          <xm:sqref>P1:P1048576</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DD27E9-A771-4175-9F54-B769FE027D5F}">
  <dimension ref="A1:BW264"/>
  <sheetViews>
    <sheetView topLeftCell="A7" zoomScale="56" zoomScaleNormal="100" workbookViewId="0">
      <selection activeCell="S37" sqref="S37"/>
    </sheetView>
  </sheetViews>
  <sheetFormatPr defaultRowHeight="14"/>
  <cols>
    <col min="1" max="1" width="33.1796875" bestFit="1" customWidth="1"/>
    <col min="2" max="2" width="20.81640625" bestFit="1" customWidth="1"/>
    <col min="3" max="3" width="30.54296875" customWidth="1"/>
    <col min="4" max="4" width="41.08984375" customWidth="1"/>
    <col min="5" max="5" width="32.1796875" customWidth="1"/>
    <col min="57" max="57" width="12" bestFit="1" customWidth="1"/>
    <col min="58" max="59" width="15.08984375" customWidth="1"/>
    <col min="60" max="60" width="8.90625" customWidth="1"/>
  </cols>
  <sheetData>
    <row r="1" spans="1:75">
      <c r="A1" s="89" t="s">
        <v>399</v>
      </c>
      <c r="B1" s="89"/>
      <c r="C1" s="89"/>
      <c r="D1" s="89"/>
      <c r="E1" s="89"/>
      <c r="F1" s="89"/>
      <c r="G1" s="89"/>
      <c r="H1" s="89"/>
      <c r="I1" s="89"/>
      <c r="J1" s="89"/>
      <c r="K1" s="89"/>
      <c r="L1" s="89"/>
      <c r="M1" s="89"/>
      <c r="N1" s="89"/>
      <c r="O1" s="89"/>
      <c r="P1" s="89"/>
      <c r="Q1" s="89"/>
      <c r="R1" s="89"/>
      <c r="S1" s="89"/>
      <c r="T1" s="89"/>
      <c r="U1" s="89"/>
      <c r="V1" s="89"/>
      <c r="W1" s="89"/>
      <c r="X1" s="89"/>
      <c r="Y1" s="89"/>
      <c r="Z1" s="89"/>
      <c r="AA1" s="89"/>
      <c r="AB1" s="89"/>
      <c r="AC1" s="89"/>
      <c r="AD1" s="89"/>
      <c r="AE1" s="89"/>
      <c r="AF1" s="89"/>
      <c r="AG1" s="89"/>
      <c r="AH1" s="89"/>
      <c r="AI1" s="89"/>
      <c r="AJ1" s="89"/>
      <c r="AK1" s="89"/>
      <c r="AL1" s="89"/>
      <c r="AM1" s="89"/>
      <c r="AN1" s="89"/>
      <c r="AO1" s="89"/>
      <c r="AP1" s="89"/>
      <c r="AQ1" s="89"/>
      <c r="AR1" s="89"/>
      <c r="AS1" s="89"/>
      <c r="AT1" s="89"/>
      <c r="AU1" s="89"/>
      <c r="AV1" s="89"/>
      <c r="AW1" s="89"/>
      <c r="AX1" s="89"/>
      <c r="AY1" s="89"/>
      <c r="AZ1" s="89"/>
      <c r="BA1" s="89"/>
      <c r="BB1" s="89"/>
      <c r="BC1" s="89"/>
      <c r="BD1" s="89"/>
      <c r="BE1" s="89"/>
      <c r="BF1" s="89"/>
      <c r="BG1" s="89"/>
      <c r="BH1" s="89"/>
      <c r="BI1" s="89"/>
      <c r="BJ1" s="89"/>
      <c r="BK1" s="89"/>
      <c r="BL1" s="89"/>
      <c r="BM1" s="89"/>
      <c r="BN1" s="89"/>
      <c r="BO1" s="89"/>
      <c r="BP1" s="89"/>
      <c r="BQ1" s="89"/>
      <c r="BR1" s="89"/>
      <c r="BS1" s="89"/>
      <c r="BT1" s="89"/>
      <c r="BU1" s="89"/>
    </row>
    <row r="2" spans="1:75">
      <c r="A2" s="89"/>
      <c r="B2" s="89"/>
      <c r="C2" s="89"/>
      <c r="D2" s="89"/>
      <c r="E2" s="89"/>
      <c r="F2" s="89"/>
      <c r="G2" s="89"/>
      <c r="H2" s="89"/>
      <c r="I2" s="89"/>
      <c r="J2" s="89"/>
      <c r="K2" s="89"/>
      <c r="L2" s="89"/>
      <c r="M2" s="89"/>
      <c r="N2" s="89"/>
      <c r="O2" s="89"/>
      <c r="P2" s="89"/>
      <c r="Q2" s="89"/>
      <c r="R2" s="89"/>
      <c r="S2" s="89"/>
      <c r="T2" s="89"/>
      <c r="U2" s="89"/>
      <c r="V2" s="89"/>
      <c r="W2" s="89"/>
      <c r="X2" s="89"/>
      <c r="Y2" s="89"/>
      <c r="Z2" s="89"/>
      <c r="AA2" s="89"/>
      <c r="AB2" s="89"/>
      <c r="AC2" s="89"/>
      <c r="AD2" s="89"/>
      <c r="AE2" s="89"/>
      <c r="AF2" s="89"/>
      <c r="AG2" s="89"/>
      <c r="AH2" s="89"/>
      <c r="AI2" s="89"/>
      <c r="AJ2" s="89"/>
      <c r="AK2" s="89"/>
      <c r="AL2" s="89"/>
      <c r="AM2" s="89"/>
      <c r="AN2" s="89"/>
      <c r="AO2" s="89"/>
      <c r="AP2" s="89"/>
      <c r="AQ2" s="89"/>
      <c r="AR2" s="89"/>
      <c r="AS2" s="89"/>
      <c r="AT2" s="89"/>
      <c r="AU2" s="89"/>
      <c r="AV2" s="89"/>
      <c r="AW2" s="89"/>
      <c r="AX2" s="89"/>
      <c r="AY2" s="89"/>
      <c r="AZ2" s="89"/>
      <c r="BA2" s="89"/>
      <c r="BB2" s="89"/>
      <c r="BC2" s="89"/>
      <c r="BD2" s="89"/>
      <c r="BE2" s="89"/>
      <c r="BF2" s="89"/>
      <c r="BG2" s="89"/>
      <c r="BH2" s="89"/>
      <c r="BI2" s="89"/>
      <c r="BJ2" s="89"/>
      <c r="BK2" s="89"/>
      <c r="BL2" s="89"/>
      <c r="BM2" s="89"/>
      <c r="BN2" s="89"/>
      <c r="BO2" s="89"/>
      <c r="BP2" s="89"/>
      <c r="BQ2" s="89"/>
      <c r="BR2" s="89"/>
      <c r="BS2" s="89"/>
      <c r="BT2" s="89"/>
      <c r="BU2" s="89"/>
    </row>
    <row r="3" spans="1:75">
      <c r="A3" s="26" t="s">
        <v>400</v>
      </c>
      <c r="B3" s="1">
        <f ca="1">TODAY()</f>
        <v>46324</v>
      </c>
    </row>
    <row r="4" spans="1:75" ht="22.75" customHeight="1">
      <c r="A4" s="23" t="s">
        <v>401</v>
      </c>
      <c r="B4" s="24">
        <f ca="1">NOW()</f>
        <v>46324.554708333337</v>
      </c>
      <c r="I4" s="90" t="s">
        <v>407</v>
      </c>
      <c r="J4" s="90"/>
      <c r="K4" s="90"/>
      <c r="L4" s="90"/>
      <c r="M4" s="90"/>
      <c r="N4" s="90"/>
      <c r="O4" s="90"/>
      <c r="P4" s="90"/>
      <c r="Q4" s="90"/>
      <c r="R4" s="90"/>
      <c r="S4" s="90"/>
      <c r="T4" s="90"/>
      <c r="U4" s="90"/>
      <c r="V4" s="90"/>
      <c r="W4" s="90"/>
      <c r="X4" s="90"/>
      <c r="Z4" s="90" t="s">
        <v>408</v>
      </c>
      <c r="AA4" s="90"/>
      <c r="AB4" s="90"/>
      <c r="AC4" s="90"/>
      <c r="AD4" s="90"/>
      <c r="AE4" s="90"/>
      <c r="AF4" s="90"/>
      <c r="AG4" s="90"/>
      <c r="AH4" s="90"/>
      <c r="AI4" s="90"/>
      <c r="AJ4" s="90"/>
      <c r="AK4" s="90"/>
      <c r="AL4" s="90"/>
      <c r="AM4" s="90"/>
      <c r="AN4" s="90"/>
      <c r="AO4" s="90"/>
      <c r="AQ4" s="90" t="s">
        <v>409</v>
      </c>
      <c r="AR4" s="90"/>
      <c r="AS4" s="90"/>
      <c r="AT4" s="90"/>
      <c r="AU4" s="90"/>
      <c r="AV4" s="90"/>
      <c r="AW4" s="90"/>
      <c r="AX4" s="90"/>
      <c r="AY4" s="90"/>
      <c r="AZ4" s="90"/>
      <c r="BA4" s="90"/>
      <c r="BB4" s="90"/>
      <c r="BC4" s="90"/>
      <c r="BD4" s="90"/>
      <c r="BE4" s="90"/>
      <c r="BF4" s="90"/>
      <c r="BH4" s="91" t="s">
        <v>410</v>
      </c>
      <c r="BI4" s="91"/>
      <c r="BJ4" s="91"/>
      <c r="BK4" s="91"/>
      <c r="BL4" s="91"/>
      <c r="BM4" s="91"/>
      <c r="BN4" s="91"/>
      <c r="BO4" s="91"/>
      <c r="BP4" s="91"/>
      <c r="BQ4" s="91"/>
      <c r="BR4" s="91"/>
      <c r="BS4" s="91"/>
      <c r="BT4" s="91"/>
      <c r="BU4" s="91"/>
      <c r="BV4" s="91"/>
      <c r="BW4" s="91"/>
    </row>
    <row r="5" spans="1:75" ht="22.75" customHeight="1">
      <c r="I5" s="90"/>
      <c r="J5" s="90"/>
      <c r="K5" s="90"/>
      <c r="L5" s="90"/>
      <c r="M5" s="90"/>
      <c r="N5" s="90"/>
      <c r="O5" s="90"/>
      <c r="P5" s="90"/>
      <c r="Q5" s="90"/>
      <c r="R5" s="90"/>
      <c r="S5" s="90"/>
      <c r="T5" s="90"/>
      <c r="U5" s="90"/>
      <c r="V5" s="90"/>
      <c r="W5" s="90"/>
      <c r="X5" s="90"/>
      <c r="Z5" s="90"/>
      <c r="AA5" s="90"/>
      <c r="AB5" s="90"/>
      <c r="AC5" s="90"/>
      <c r="AD5" s="90"/>
      <c r="AE5" s="90"/>
      <c r="AF5" s="90"/>
      <c r="AG5" s="90"/>
      <c r="AH5" s="90"/>
      <c r="AI5" s="90"/>
      <c r="AJ5" s="90"/>
      <c r="AK5" s="90"/>
      <c r="AL5" s="90"/>
      <c r="AM5" s="90"/>
      <c r="AN5" s="90"/>
      <c r="AO5" s="90"/>
      <c r="AQ5" s="90"/>
      <c r="AR5" s="90"/>
      <c r="AS5" s="90"/>
      <c r="AT5" s="90"/>
      <c r="AU5" s="90"/>
      <c r="AV5" s="90"/>
      <c r="AW5" s="90"/>
      <c r="AX5" s="90"/>
      <c r="AY5" s="90"/>
      <c r="AZ5" s="90"/>
      <c r="BA5" s="90"/>
      <c r="BB5" s="90"/>
      <c r="BC5" s="90"/>
      <c r="BD5" s="90"/>
      <c r="BE5" s="90"/>
      <c r="BF5" s="90"/>
      <c r="BH5" s="91"/>
      <c r="BI5" s="91"/>
      <c r="BJ5" s="91"/>
      <c r="BK5" s="91"/>
      <c r="BL5" s="91"/>
      <c r="BM5" s="91"/>
      <c r="BN5" s="91"/>
      <c r="BO5" s="91"/>
      <c r="BP5" s="91"/>
      <c r="BQ5" s="91"/>
      <c r="BR5" s="91"/>
      <c r="BS5" s="91"/>
      <c r="BT5" s="91"/>
      <c r="BU5" s="91"/>
      <c r="BV5" s="91"/>
      <c r="BW5" s="91"/>
    </row>
    <row r="7" spans="1:75" ht="17.5">
      <c r="A7" s="50" t="s">
        <v>402</v>
      </c>
      <c r="B7" s="50" t="s">
        <v>403</v>
      </c>
      <c r="C7" s="50" t="s">
        <v>404</v>
      </c>
      <c r="D7" s="50" t="s">
        <v>406</v>
      </c>
      <c r="E7" s="50" t="s">
        <v>405</v>
      </c>
      <c r="I7" t="str" cm="1">
        <f t="array" aca="1" ref="I7:X137" ca="1">_xlfn._xlws.FILTER(tblTransactions[],tblTransactions[Category]="Electronics","No Records Found")</f>
        <v>TRX0155</v>
      </c>
      <c r="J7">
        <f ca="1"/>
        <v>45393</v>
      </c>
      <c r="K7" t="str">
        <f ca="1"/>
        <v>CUST023</v>
      </c>
      <c r="L7" t="str">
        <f ca="1"/>
        <v>Paul Baker</v>
      </c>
      <c r="M7" t="str">
        <f ca="1"/>
        <v>P009</v>
      </c>
      <c r="N7" t="str">
        <f ca="1"/>
        <v>Monitor</v>
      </c>
      <c r="O7" t="str">
        <f ca="1"/>
        <v>Electronics</v>
      </c>
      <c r="P7">
        <f ca="1"/>
        <v>3</v>
      </c>
      <c r="Q7">
        <f ca="1"/>
        <v>249.99</v>
      </c>
      <c r="R7" t="str">
        <f ca="1"/>
        <v>Cash</v>
      </c>
      <c r="S7" t="str">
        <f ca="1"/>
        <v>Central</v>
      </c>
      <c r="T7" t="str">
        <f ca="1"/>
        <v>Basic</v>
      </c>
      <c r="U7">
        <f ca="1"/>
        <v>44425</v>
      </c>
      <c r="V7">
        <f ca="1"/>
        <v>749.97</v>
      </c>
      <c r="W7">
        <f ca="1"/>
        <v>46324.554708217591</v>
      </c>
      <c r="X7" t="str">
        <f ca="1"/>
        <v>Medium</v>
      </c>
      <c r="Z7" t="str" cm="1">
        <f t="array" aca="1" ref="Z7:AO65" ca="1">_xlfn._xlws.FILTER(tblTransactions[],tblTransactions[Region]="North","No Records Found")</f>
        <v>TRX0043</v>
      </c>
      <c r="AA7">
        <f ca="1"/>
        <v>45400</v>
      </c>
      <c r="AB7" t="str">
        <f ca="1"/>
        <v>CUST046</v>
      </c>
      <c r="AC7" t="str">
        <f ca="1"/>
        <v>Kathleen Bennett</v>
      </c>
      <c r="AD7" t="str">
        <f ca="1"/>
        <v>P005</v>
      </c>
      <c r="AE7" t="str">
        <f ca="1"/>
        <v>Blender</v>
      </c>
      <c r="AF7" t="str">
        <f ca="1"/>
        <v>Appliances</v>
      </c>
      <c r="AG7">
        <f ca="1"/>
        <v>3</v>
      </c>
      <c r="AH7">
        <f ca="1"/>
        <v>59.99</v>
      </c>
      <c r="AI7" t="str">
        <f ca="1"/>
        <v>Cash</v>
      </c>
      <c r="AJ7" t="str">
        <f ca="1"/>
        <v>North</v>
      </c>
      <c r="AK7" t="str">
        <f ca="1"/>
        <v>Premium</v>
      </c>
      <c r="AL7">
        <f ca="1"/>
        <v>45114</v>
      </c>
      <c r="AM7">
        <f ca="1"/>
        <v>179.97</v>
      </c>
      <c r="AN7">
        <f ca="1"/>
        <v>46324.554708333337</v>
      </c>
      <c r="AO7" t="str">
        <f ca="1"/>
        <v>Low</v>
      </c>
      <c r="AQ7" t="str" cm="1">
        <f t="array" aca="1" ref="AQ7:BF42" ca="1">_xlfn._xlws.FILTER(tblTransactions[],(tblTransactions[Category]="Electronics")*(tblTransactions[Region]="North"),"No Records Found")</f>
        <v>TRX0230</v>
      </c>
      <c r="AR7">
        <f ca="1"/>
        <v>45409</v>
      </c>
      <c r="AS7" t="str">
        <f ca="1"/>
        <v>CUST027</v>
      </c>
      <c r="AT7" t="str">
        <f ca="1"/>
        <v>George Adams</v>
      </c>
      <c r="AU7" t="str">
        <f ca="1"/>
        <v>P001</v>
      </c>
      <c r="AV7" t="str">
        <f ca="1"/>
        <v>Laptop</v>
      </c>
      <c r="AW7" t="str">
        <f ca="1"/>
        <v>Electronics</v>
      </c>
      <c r="AX7">
        <f ca="1"/>
        <v>1</v>
      </c>
      <c r="AY7">
        <f ca="1"/>
        <v>899.99</v>
      </c>
      <c r="AZ7" t="str">
        <f ca="1"/>
        <v>Debit Card</v>
      </c>
      <c r="BA7" t="str">
        <f ca="1"/>
        <v>North</v>
      </c>
      <c r="BB7" t="str">
        <f ca="1"/>
        <v>Standard</v>
      </c>
      <c r="BC7">
        <f ca="1"/>
        <v>44920</v>
      </c>
      <c r="BD7">
        <f ca="1"/>
        <v>899.99</v>
      </c>
      <c r="BE7">
        <f ca="1"/>
        <v>46324.554708333337</v>
      </c>
      <c r="BF7" t="str">
        <f ca="1"/>
        <v>Medium</v>
      </c>
      <c r="BH7" t="str" cm="1">
        <f t="array" aca="1" ref="BH7:BW107" ca="1">_xlfn._xlws.FILTER(tblTransactions[],(tblTransactions[Region]="North")+(tblTransactions[Region]="South"),"No Records Found")</f>
        <v>TRX0139</v>
      </c>
      <c r="BI7">
        <f ca="1"/>
        <v>45399</v>
      </c>
      <c r="BJ7" t="str">
        <f ca="1"/>
        <v>CUST021</v>
      </c>
      <c r="BK7" t="str">
        <f ca="1"/>
        <v>Kevin Scott</v>
      </c>
      <c r="BL7" t="str">
        <f ca="1"/>
        <v>P005</v>
      </c>
      <c r="BM7" t="str">
        <f ca="1"/>
        <v>Blender</v>
      </c>
      <c r="BN7" t="str">
        <f ca="1"/>
        <v>Appliances</v>
      </c>
      <c r="BO7">
        <f ca="1"/>
        <v>3</v>
      </c>
      <c r="BP7">
        <f ca="1"/>
        <v>59.99</v>
      </c>
      <c r="BQ7" t="str">
        <f ca="1"/>
        <v>PayPal</v>
      </c>
      <c r="BR7" t="str">
        <f ca="1"/>
        <v>South</v>
      </c>
      <c r="BS7" t="str">
        <f ca="1"/>
        <v>Standard</v>
      </c>
      <c r="BT7">
        <f ca="1"/>
        <v>45262</v>
      </c>
      <c r="BU7">
        <f ca="1"/>
        <v>179.97</v>
      </c>
      <c r="BV7">
        <f ca="1"/>
        <v>46324.554708333337</v>
      </c>
      <c r="BW7" t="str">
        <f ca="1"/>
        <v>Low</v>
      </c>
    </row>
    <row r="8" spans="1:75">
      <c r="A8" t="str">
        <f>'Raw Data'!D2</f>
        <v>Paul Baker</v>
      </c>
      <c r="B8" s="1">
        <f>'Raw Data'!M2</f>
        <v>44425</v>
      </c>
      <c r="C8">
        <f ca="1">DATEDIF(B8,TODAY(),"Y")</f>
        <v>5</v>
      </c>
      <c r="D8">
        <f ca="1">DATEDIF(B8,$B$3,"M")</f>
        <v>62</v>
      </c>
      <c r="E8" s="1">
        <f>EOMONTH(B8,0)</f>
        <v>44439</v>
      </c>
      <c r="I8" t="str">
        <f ca="1"/>
        <v>TRX0023</v>
      </c>
      <c r="J8">
        <f ca="1"/>
        <v>45396</v>
      </c>
      <c r="K8" t="str">
        <f ca="1"/>
        <v>CUST013</v>
      </c>
      <c r="L8" t="str">
        <f ca="1"/>
        <v>Joseph Jackson</v>
      </c>
      <c r="M8" t="str">
        <f ca="1"/>
        <v>P009</v>
      </c>
      <c r="N8" t="str">
        <f ca="1"/>
        <v>Monitor</v>
      </c>
      <c r="O8" t="str">
        <f ca="1"/>
        <v>Electronics</v>
      </c>
      <c r="P8">
        <f ca="1"/>
        <v>3</v>
      </c>
      <c r="Q8">
        <f ca="1"/>
        <v>249.99</v>
      </c>
      <c r="R8" t="str">
        <f ca="1"/>
        <v>Credit Card</v>
      </c>
      <c r="S8" t="str">
        <f ca="1"/>
        <v>Central</v>
      </c>
      <c r="T8" t="str">
        <f ca="1"/>
        <v>Premium</v>
      </c>
      <c r="U8">
        <f ca="1"/>
        <v>44575</v>
      </c>
      <c r="V8">
        <f ca="1"/>
        <v>749.97</v>
      </c>
      <c r="W8">
        <f ca="1"/>
        <v>46324.554708333337</v>
      </c>
      <c r="X8" t="str">
        <f ca="1"/>
        <v>Medium</v>
      </c>
      <c r="Z8" t="str">
        <f ca="1"/>
        <v>TRX0212</v>
      </c>
      <c r="AA8">
        <f ca="1"/>
        <v>45400</v>
      </c>
      <c r="AB8" t="str">
        <f ca="1"/>
        <v>CUST003</v>
      </c>
      <c r="AC8" t="str">
        <f ca="1"/>
        <v>Michael Brown</v>
      </c>
      <c r="AD8" t="str">
        <f ca="1"/>
        <v>P008</v>
      </c>
      <c r="AE8" t="str">
        <f ca="1"/>
        <v>Bookshelf</v>
      </c>
      <c r="AF8" t="str">
        <f ca="1"/>
        <v>Furniture</v>
      </c>
      <c r="AG8">
        <f ca="1"/>
        <v>5</v>
      </c>
      <c r="AH8">
        <f ca="1"/>
        <v>149.99</v>
      </c>
      <c r="AI8" t="str">
        <f ca="1"/>
        <v>Credit Card</v>
      </c>
      <c r="AJ8" t="str">
        <f ca="1"/>
        <v>North</v>
      </c>
      <c r="AK8" t="str">
        <f ca="1"/>
        <v>Premium</v>
      </c>
      <c r="AL8">
        <f ca="1"/>
        <v>45295</v>
      </c>
      <c r="AM8">
        <f ca="1"/>
        <v>749.95</v>
      </c>
      <c r="AN8">
        <f ca="1"/>
        <v>46324.554708333337</v>
      </c>
      <c r="AO8" t="str">
        <f ca="1"/>
        <v>Medium</v>
      </c>
      <c r="AQ8" t="str">
        <f ca="1"/>
        <v>TRX0134</v>
      </c>
      <c r="AR8">
        <f ca="1"/>
        <v>45410</v>
      </c>
      <c r="AS8" t="str">
        <f ca="1"/>
        <v>CUST010</v>
      </c>
      <c r="AT8" t="str">
        <f ca="1"/>
        <v>Maria Garcia</v>
      </c>
      <c r="AU8" t="str">
        <f ca="1"/>
        <v>P002</v>
      </c>
      <c r="AV8" t="str">
        <f ca="1"/>
        <v>Smartphone</v>
      </c>
      <c r="AW8" t="str">
        <f ca="1"/>
        <v>Electronics</v>
      </c>
      <c r="AX8">
        <f ca="1"/>
        <v>2</v>
      </c>
      <c r="AY8">
        <f ca="1"/>
        <v>699.99</v>
      </c>
      <c r="AZ8" t="str">
        <f ca="1"/>
        <v>Cash</v>
      </c>
      <c r="BA8" t="str">
        <f ca="1"/>
        <v>North</v>
      </c>
      <c r="BB8" t="str">
        <f ca="1"/>
        <v>Basic</v>
      </c>
      <c r="BC8">
        <f ca="1"/>
        <v>44781</v>
      </c>
      <c r="BD8">
        <f ca="1"/>
        <v>1399.98</v>
      </c>
      <c r="BE8">
        <f ca="1"/>
        <v>46324.554708333337</v>
      </c>
      <c r="BF8" t="str">
        <f ca="1"/>
        <v>High</v>
      </c>
      <c r="BH8" t="str">
        <f ca="1"/>
        <v>TRX0043</v>
      </c>
      <c r="BI8">
        <f ca="1"/>
        <v>45400</v>
      </c>
      <c r="BJ8" t="str">
        <f ca="1"/>
        <v>CUST046</v>
      </c>
      <c r="BK8" t="str">
        <f ca="1"/>
        <v>Kathleen Bennett</v>
      </c>
      <c r="BL8" t="str">
        <f ca="1"/>
        <v>P005</v>
      </c>
      <c r="BM8" t="str">
        <f ca="1"/>
        <v>Blender</v>
      </c>
      <c r="BN8" t="str">
        <f ca="1"/>
        <v>Appliances</v>
      </c>
      <c r="BO8">
        <f ca="1"/>
        <v>3</v>
      </c>
      <c r="BP8">
        <f ca="1"/>
        <v>59.99</v>
      </c>
      <c r="BQ8" t="str">
        <f ca="1"/>
        <v>Cash</v>
      </c>
      <c r="BR8" t="str">
        <f ca="1"/>
        <v>North</v>
      </c>
      <c r="BS8" t="str">
        <f ca="1"/>
        <v>Premium</v>
      </c>
      <c r="BT8">
        <f ca="1"/>
        <v>45114</v>
      </c>
      <c r="BU8">
        <f ca="1"/>
        <v>179.97</v>
      </c>
      <c r="BV8">
        <f ca="1"/>
        <v>46324.554708333337</v>
      </c>
      <c r="BW8" t="str">
        <f ca="1"/>
        <v>Low</v>
      </c>
    </row>
    <row r="9" spans="1:75">
      <c r="A9" t="str">
        <f>'Raw Data'!D3</f>
        <v>Joseph Jackson</v>
      </c>
      <c r="B9" s="1">
        <f>'Raw Data'!M3</f>
        <v>44575</v>
      </c>
      <c r="C9">
        <f t="shared" ref="C9:C72" ca="1" si="0">DATEDIF(B9,TODAY(),"Y")</f>
        <v>4</v>
      </c>
      <c r="D9">
        <f t="shared" ref="D9:D72" ca="1" si="1">DATEDIF(B9,$B$3,"M")</f>
        <v>57</v>
      </c>
      <c r="E9" s="1">
        <f t="shared" ref="E9:E72" si="2">EOMONTH(B9,0)</f>
        <v>44592</v>
      </c>
      <c r="I9" t="str">
        <f ca="1"/>
        <v>TRX0193</v>
      </c>
      <c r="J9">
        <f ca="1"/>
        <v>45403</v>
      </c>
      <c r="K9" t="str">
        <f ca="1"/>
        <v>CUST024</v>
      </c>
      <c r="L9" t="str">
        <f ca="1"/>
        <v>Dorothy Nelson</v>
      </c>
      <c r="M9" t="str">
        <f ca="1"/>
        <v>P003</v>
      </c>
      <c r="N9" t="str">
        <f ca="1"/>
        <v>Headphones</v>
      </c>
      <c r="O9" t="str">
        <f ca="1"/>
        <v>Electronics</v>
      </c>
      <c r="P9">
        <f ca="1"/>
        <v>5</v>
      </c>
      <c r="Q9">
        <f ca="1"/>
        <v>149.99</v>
      </c>
      <c r="R9" t="str">
        <f ca="1"/>
        <v>Credit Card</v>
      </c>
      <c r="S9" t="str">
        <f ca="1"/>
        <v>Central</v>
      </c>
      <c r="T9" t="str">
        <f ca="1"/>
        <v>Standard</v>
      </c>
      <c r="U9">
        <f ca="1"/>
        <v>44418</v>
      </c>
      <c r="V9">
        <f ca="1"/>
        <v>749.95</v>
      </c>
      <c r="W9">
        <f ca="1"/>
        <v>46324.554708333337</v>
      </c>
      <c r="X9" t="str">
        <f ca="1"/>
        <v>Medium</v>
      </c>
      <c r="Z9" t="str">
        <f ca="1"/>
        <v>TRX0209</v>
      </c>
      <c r="AA9">
        <f ca="1"/>
        <v>45408</v>
      </c>
      <c r="AB9" t="str">
        <f ca="1"/>
        <v>CUST046</v>
      </c>
      <c r="AC9" t="str">
        <f ca="1"/>
        <v>Kathleen Bennett</v>
      </c>
      <c r="AD9" t="str">
        <f ca="1"/>
        <v>P008</v>
      </c>
      <c r="AE9" t="str">
        <f ca="1"/>
        <v>Bookshelf</v>
      </c>
      <c r="AF9" t="str">
        <f ca="1"/>
        <v>Furniture</v>
      </c>
      <c r="AG9">
        <f ca="1"/>
        <v>5</v>
      </c>
      <c r="AH9">
        <f ca="1"/>
        <v>149.99</v>
      </c>
      <c r="AI9" t="str">
        <f ca="1"/>
        <v>Debit Card</v>
      </c>
      <c r="AJ9" t="str">
        <f ca="1"/>
        <v>North</v>
      </c>
      <c r="AK9" t="str">
        <f ca="1"/>
        <v>Basic</v>
      </c>
      <c r="AL9">
        <f ca="1"/>
        <v>44830</v>
      </c>
      <c r="AM9">
        <f ca="1"/>
        <v>749.95</v>
      </c>
      <c r="AN9">
        <f ca="1"/>
        <v>46324.554708333337</v>
      </c>
      <c r="AO9" t="str">
        <f ca="1"/>
        <v>Medium</v>
      </c>
      <c r="AQ9" t="str">
        <f ca="1"/>
        <v>TRX0222</v>
      </c>
      <c r="AR9">
        <f ca="1"/>
        <v>45410</v>
      </c>
      <c r="AS9" t="str">
        <f ca="1"/>
        <v>CUST048</v>
      </c>
      <c r="AT9" t="str">
        <f ca="1"/>
        <v>Virginia Sanders</v>
      </c>
      <c r="AU9" t="str">
        <f ca="1"/>
        <v>P009</v>
      </c>
      <c r="AV9" t="str">
        <f ca="1"/>
        <v>Monitor</v>
      </c>
      <c r="AW9" t="str">
        <f ca="1"/>
        <v>Electronics</v>
      </c>
      <c r="AX9">
        <f ca="1"/>
        <v>3</v>
      </c>
      <c r="AY9">
        <f ca="1"/>
        <v>249.99</v>
      </c>
      <c r="AZ9" t="str">
        <f ca="1"/>
        <v>Credit Card</v>
      </c>
      <c r="BA9" t="str">
        <f ca="1"/>
        <v>North</v>
      </c>
      <c r="BB9" t="str">
        <f ca="1"/>
        <v>Premium</v>
      </c>
      <c r="BC9">
        <f ca="1"/>
        <v>45224</v>
      </c>
      <c r="BD9">
        <f ca="1"/>
        <v>749.97</v>
      </c>
      <c r="BE9">
        <f ca="1"/>
        <v>46324.554708333337</v>
      </c>
      <c r="BF9" t="str">
        <f ca="1"/>
        <v>Medium</v>
      </c>
      <c r="BH9" t="str">
        <f ca="1"/>
        <v>TRX0212</v>
      </c>
      <c r="BI9">
        <f ca="1"/>
        <v>45400</v>
      </c>
      <c r="BJ9" t="str">
        <f ca="1"/>
        <v>CUST003</v>
      </c>
      <c r="BK9" t="str">
        <f ca="1"/>
        <v>Michael Brown</v>
      </c>
      <c r="BL9" t="str">
        <f ca="1"/>
        <v>P008</v>
      </c>
      <c r="BM9" t="str">
        <f ca="1"/>
        <v>Bookshelf</v>
      </c>
      <c r="BN9" t="str">
        <f ca="1"/>
        <v>Furniture</v>
      </c>
      <c r="BO9">
        <f ca="1"/>
        <v>5</v>
      </c>
      <c r="BP9">
        <f ca="1"/>
        <v>149.99</v>
      </c>
      <c r="BQ9" t="str">
        <f ca="1"/>
        <v>Credit Card</v>
      </c>
      <c r="BR9" t="str">
        <f ca="1"/>
        <v>North</v>
      </c>
      <c r="BS9" t="str">
        <f ca="1"/>
        <v>Premium</v>
      </c>
      <c r="BT9">
        <f ca="1"/>
        <v>45295</v>
      </c>
      <c r="BU9">
        <f ca="1"/>
        <v>749.95</v>
      </c>
      <c r="BV9">
        <f ca="1"/>
        <v>46324.554708333337</v>
      </c>
      <c r="BW9" t="str">
        <f ca="1"/>
        <v>Medium</v>
      </c>
    </row>
    <row r="10" spans="1:75">
      <c r="A10" t="str">
        <f>'Raw Data'!D4</f>
        <v>Kevin Scott</v>
      </c>
      <c r="B10" s="1">
        <f>'Raw Data'!M4</f>
        <v>45262</v>
      </c>
      <c r="C10">
        <f t="shared" ca="1" si="0"/>
        <v>2</v>
      </c>
      <c r="D10">
        <f t="shared" ca="1" si="1"/>
        <v>34</v>
      </c>
      <c r="E10" s="1">
        <f t="shared" si="2"/>
        <v>45291</v>
      </c>
      <c r="I10" t="str">
        <f ca="1"/>
        <v>TRX0135</v>
      </c>
      <c r="J10">
        <f ca="1"/>
        <v>45405</v>
      </c>
      <c r="K10" t="str">
        <f ca="1"/>
        <v>CUST009</v>
      </c>
      <c r="L10" t="str">
        <f ca="1"/>
        <v>Robert Thomas</v>
      </c>
      <c r="M10" t="str">
        <f ca="1"/>
        <v>P001</v>
      </c>
      <c r="N10" t="str">
        <f ca="1"/>
        <v>Laptop</v>
      </c>
      <c r="O10" t="str">
        <f ca="1"/>
        <v>Electronics</v>
      </c>
      <c r="P10">
        <f ca="1"/>
        <v>3</v>
      </c>
      <c r="Q10">
        <f ca="1"/>
        <v>899.99</v>
      </c>
      <c r="R10" t="str">
        <f ca="1"/>
        <v>PayPal</v>
      </c>
      <c r="S10" t="str">
        <f ca="1"/>
        <v>East</v>
      </c>
      <c r="T10" t="str">
        <f ca="1"/>
        <v>Standard</v>
      </c>
      <c r="U10">
        <f ca="1"/>
        <v>45299</v>
      </c>
      <c r="V10">
        <f ca="1"/>
        <v>2699.97</v>
      </c>
      <c r="W10">
        <f ca="1"/>
        <v>46324.554708333337</v>
      </c>
      <c r="X10" t="str">
        <f ca="1"/>
        <v>High</v>
      </c>
      <c r="Z10" t="str">
        <f ca="1"/>
        <v>TRX0246</v>
      </c>
      <c r="AA10">
        <f ca="1"/>
        <v>45408</v>
      </c>
      <c r="AB10" t="str">
        <f ca="1"/>
        <v>CUST041</v>
      </c>
      <c r="AC10" t="str">
        <f ca="1"/>
        <v>Peter Richardson</v>
      </c>
      <c r="AD10" t="str">
        <f ca="1"/>
        <v>P008</v>
      </c>
      <c r="AE10" t="str">
        <f ca="1"/>
        <v>Bookshelf</v>
      </c>
      <c r="AF10" t="str">
        <f ca="1"/>
        <v>Furniture</v>
      </c>
      <c r="AG10">
        <f ca="1"/>
        <v>3</v>
      </c>
      <c r="AH10">
        <f ca="1"/>
        <v>149.99</v>
      </c>
      <c r="AI10" t="str">
        <f ca="1"/>
        <v>Cash</v>
      </c>
      <c r="AJ10" t="str">
        <f ca="1"/>
        <v>North</v>
      </c>
      <c r="AK10" t="str">
        <f ca="1"/>
        <v>Premium</v>
      </c>
      <c r="AL10">
        <f ca="1"/>
        <v>44806</v>
      </c>
      <c r="AM10">
        <f ca="1"/>
        <v>449.97</v>
      </c>
      <c r="AN10">
        <f ca="1"/>
        <v>46324.554708333337</v>
      </c>
      <c r="AO10" t="str">
        <f ca="1"/>
        <v>Low</v>
      </c>
      <c r="AQ10" t="str">
        <f ca="1"/>
        <v>TRX0204</v>
      </c>
      <c r="AR10">
        <f ca="1"/>
        <v>45415</v>
      </c>
      <c r="AS10" t="str">
        <f ca="1"/>
        <v>CUST044</v>
      </c>
      <c r="AT10" t="str">
        <f ca="1"/>
        <v>Cynthia Price</v>
      </c>
      <c r="AU10" t="str">
        <f ca="1"/>
        <v>P009</v>
      </c>
      <c r="AV10" t="str">
        <f ca="1"/>
        <v>Monitor</v>
      </c>
      <c r="AW10" t="str">
        <f ca="1"/>
        <v>Electronics</v>
      </c>
      <c r="AX10">
        <f ca="1"/>
        <v>4</v>
      </c>
      <c r="AY10">
        <f ca="1"/>
        <v>249.99</v>
      </c>
      <c r="AZ10" t="str">
        <f ca="1"/>
        <v>PayPal</v>
      </c>
      <c r="BA10" t="str">
        <f ca="1"/>
        <v>North</v>
      </c>
      <c r="BB10" t="str">
        <f ca="1"/>
        <v>Standard</v>
      </c>
      <c r="BC10">
        <f ca="1"/>
        <v>44468</v>
      </c>
      <c r="BD10">
        <f ca="1"/>
        <v>999.96</v>
      </c>
      <c r="BE10">
        <f ca="1"/>
        <v>46324.554708333337</v>
      </c>
      <c r="BF10" t="str">
        <f ca="1"/>
        <v>Medium</v>
      </c>
      <c r="BH10" t="str">
        <f ca="1"/>
        <v>TRX0240</v>
      </c>
      <c r="BI10">
        <f ca="1"/>
        <v>45403</v>
      </c>
      <c r="BJ10" t="str">
        <f ca="1"/>
        <v>CUST017</v>
      </c>
      <c r="BK10" t="str">
        <f ca="1"/>
        <v>Charles Allen</v>
      </c>
      <c r="BL10" t="str">
        <f ca="1"/>
        <v>P005</v>
      </c>
      <c r="BM10" t="str">
        <f ca="1"/>
        <v>Blender</v>
      </c>
      <c r="BN10" t="str">
        <f ca="1"/>
        <v>Appliances</v>
      </c>
      <c r="BO10">
        <f ca="1"/>
        <v>3</v>
      </c>
      <c r="BP10">
        <f ca="1"/>
        <v>59.99</v>
      </c>
      <c r="BQ10" t="str">
        <f ca="1"/>
        <v>Debit Card</v>
      </c>
      <c r="BR10" t="str">
        <f ca="1"/>
        <v>South</v>
      </c>
      <c r="BS10" t="str">
        <f ca="1"/>
        <v>Basic</v>
      </c>
      <c r="BT10">
        <f ca="1"/>
        <v>45007</v>
      </c>
      <c r="BU10">
        <f ca="1"/>
        <v>179.97</v>
      </c>
      <c r="BV10">
        <f ca="1"/>
        <v>46324.554708333337</v>
      </c>
      <c r="BW10" t="str">
        <f ca="1"/>
        <v>Low</v>
      </c>
    </row>
    <row r="11" spans="1:75">
      <c r="A11" t="str">
        <f>'Raw Data'!D5</f>
        <v>Kathleen Bennett</v>
      </c>
      <c r="B11" s="1">
        <f>'Raw Data'!M5</f>
        <v>45114</v>
      </c>
      <c r="C11">
        <f t="shared" ca="1" si="0"/>
        <v>3</v>
      </c>
      <c r="D11">
        <f t="shared" ca="1" si="1"/>
        <v>39</v>
      </c>
      <c r="E11" s="1">
        <f t="shared" si="2"/>
        <v>45138</v>
      </c>
      <c r="I11" t="str">
        <f ca="1"/>
        <v>TRX0191</v>
      </c>
      <c r="J11">
        <f ca="1"/>
        <v>45409</v>
      </c>
      <c r="K11" t="str">
        <f ca="1"/>
        <v>CUST038</v>
      </c>
      <c r="L11" t="str">
        <f ca="1"/>
        <v>Michelle Rogers</v>
      </c>
      <c r="M11" t="str">
        <f ca="1"/>
        <v>P002</v>
      </c>
      <c r="N11" t="str">
        <f ca="1"/>
        <v>Smartphone</v>
      </c>
      <c r="O11" t="str">
        <f ca="1"/>
        <v>Electronics</v>
      </c>
      <c r="P11">
        <f ca="1"/>
        <v>3</v>
      </c>
      <c r="Q11">
        <f ca="1"/>
        <v>699.99</v>
      </c>
      <c r="R11" t="str">
        <f ca="1"/>
        <v>Credit Card</v>
      </c>
      <c r="S11" t="str">
        <f ca="1"/>
        <v>West</v>
      </c>
      <c r="T11" t="str">
        <f ca="1"/>
        <v>Basic</v>
      </c>
      <c r="U11">
        <f ca="1"/>
        <v>44577</v>
      </c>
      <c r="V11">
        <f ca="1"/>
        <v>2099.9699999999998</v>
      </c>
      <c r="W11">
        <f ca="1"/>
        <v>46324.554708333337</v>
      </c>
      <c r="X11" t="str">
        <f ca="1"/>
        <v>High</v>
      </c>
      <c r="Z11" t="str">
        <f ca="1"/>
        <v>TRX0067</v>
      </c>
      <c r="AA11">
        <f ca="1"/>
        <v>45409</v>
      </c>
      <c r="AB11" t="str">
        <f ca="1"/>
        <v>CUST043</v>
      </c>
      <c r="AC11" t="str">
        <f ca="1"/>
        <v>Dennis Gray</v>
      </c>
      <c r="AD11" t="str">
        <f ca="1"/>
        <v>P005</v>
      </c>
      <c r="AE11" t="str">
        <f ca="1"/>
        <v>Blender</v>
      </c>
      <c r="AF11" t="str">
        <f ca="1"/>
        <v>Appliances</v>
      </c>
      <c r="AG11">
        <f ca="1"/>
        <v>3</v>
      </c>
      <c r="AH11">
        <f ca="1"/>
        <v>59.99</v>
      </c>
      <c r="AI11" t="str">
        <f ca="1"/>
        <v>Credit Card</v>
      </c>
      <c r="AJ11" t="str">
        <f ca="1"/>
        <v>North</v>
      </c>
      <c r="AK11" t="str">
        <f ca="1"/>
        <v>Standard</v>
      </c>
      <c r="AL11">
        <f ca="1"/>
        <v>45351</v>
      </c>
      <c r="AM11">
        <f ca="1"/>
        <v>179.97</v>
      </c>
      <c r="AN11">
        <f ca="1"/>
        <v>46324.554708333337</v>
      </c>
      <c r="AO11" t="str">
        <f ca="1"/>
        <v>Low</v>
      </c>
      <c r="AQ11" t="str">
        <f ca="1"/>
        <v>TRX0004</v>
      </c>
      <c r="AR11">
        <f ca="1"/>
        <v>45424</v>
      </c>
      <c r="AS11" t="str">
        <f ca="1"/>
        <v>CUST012</v>
      </c>
      <c r="AT11" t="str">
        <f ca="1"/>
        <v>Patricia Moore</v>
      </c>
      <c r="AU11" t="str">
        <f ca="1"/>
        <v>P010</v>
      </c>
      <c r="AV11" t="str">
        <f ca="1"/>
        <v>Keyboard</v>
      </c>
      <c r="AW11" t="str">
        <f ca="1"/>
        <v>Electronics</v>
      </c>
      <c r="AX11">
        <f ca="1"/>
        <v>5</v>
      </c>
      <c r="AY11">
        <f ca="1"/>
        <v>89.99</v>
      </c>
      <c r="AZ11" t="str">
        <f ca="1"/>
        <v>Cash</v>
      </c>
      <c r="BA11" t="str">
        <f ca="1"/>
        <v>North</v>
      </c>
      <c r="BB11" t="str">
        <f ca="1"/>
        <v>Premium</v>
      </c>
      <c r="BC11">
        <f ca="1"/>
        <v>44919</v>
      </c>
      <c r="BD11">
        <f ca="1"/>
        <v>449.95</v>
      </c>
      <c r="BE11">
        <f ca="1"/>
        <v>46324.554708333337</v>
      </c>
      <c r="BF11" t="str">
        <f ca="1"/>
        <v>Low</v>
      </c>
      <c r="BH11" t="str">
        <f ca="1"/>
        <v>TRX0209</v>
      </c>
      <c r="BI11">
        <f ca="1"/>
        <v>45408</v>
      </c>
      <c r="BJ11" t="str">
        <f ca="1"/>
        <v>CUST046</v>
      </c>
      <c r="BK11" t="str">
        <f ca="1"/>
        <v>Kathleen Bennett</v>
      </c>
      <c r="BL11" t="str">
        <f ca="1"/>
        <v>P008</v>
      </c>
      <c r="BM11" t="str">
        <f ca="1"/>
        <v>Bookshelf</v>
      </c>
      <c r="BN11" t="str">
        <f ca="1"/>
        <v>Furniture</v>
      </c>
      <c r="BO11">
        <f ca="1"/>
        <v>5</v>
      </c>
      <c r="BP11">
        <f ca="1"/>
        <v>149.99</v>
      </c>
      <c r="BQ11" t="str">
        <f ca="1"/>
        <v>Debit Card</v>
      </c>
      <c r="BR11" t="str">
        <f ca="1"/>
        <v>North</v>
      </c>
      <c r="BS11" t="str">
        <f ca="1"/>
        <v>Basic</v>
      </c>
      <c r="BT11">
        <f ca="1"/>
        <v>44830</v>
      </c>
      <c r="BU11">
        <f ca="1"/>
        <v>749.95</v>
      </c>
      <c r="BV11">
        <f ca="1"/>
        <v>46324.554708333337</v>
      </c>
      <c r="BW11" t="str">
        <f ca="1"/>
        <v>Medium</v>
      </c>
    </row>
    <row r="12" spans="1:75">
      <c r="A12" t="str">
        <f>'Raw Data'!D6</f>
        <v>Michael Brown</v>
      </c>
      <c r="B12" s="1">
        <f>'Raw Data'!M6</f>
        <v>45295</v>
      </c>
      <c r="C12">
        <f t="shared" ca="1" si="0"/>
        <v>2</v>
      </c>
      <c r="D12">
        <f t="shared" ca="1" si="1"/>
        <v>33</v>
      </c>
      <c r="E12" s="1">
        <f t="shared" si="2"/>
        <v>45322</v>
      </c>
      <c r="I12" t="str">
        <f ca="1"/>
        <v>TRX0230</v>
      </c>
      <c r="J12">
        <f ca="1"/>
        <v>45409</v>
      </c>
      <c r="K12" t="str">
        <f ca="1"/>
        <v>CUST027</v>
      </c>
      <c r="L12" t="str">
        <f ca="1"/>
        <v>George Adams</v>
      </c>
      <c r="M12" t="str">
        <f ca="1"/>
        <v>P001</v>
      </c>
      <c r="N12" t="str">
        <f ca="1"/>
        <v>Laptop</v>
      </c>
      <c r="O12" t="str">
        <f ca="1"/>
        <v>Electronics</v>
      </c>
      <c r="P12">
        <f ca="1"/>
        <v>1</v>
      </c>
      <c r="Q12">
        <f ca="1"/>
        <v>899.99</v>
      </c>
      <c r="R12" t="str">
        <f ca="1"/>
        <v>Debit Card</v>
      </c>
      <c r="S12" t="str">
        <f ca="1"/>
        <v>North</v>
      </c>
      <c r="T12" t="str">
        <f ca="1"/>
        <v>Standard</v>
      </c>
      <c r="U12">
        <f ca="1"/>
        <v>44920</v>
      </c>
      <c r="V12">
        <f ca="1"/>
        <v>899.99</v>
      </c>
      <c r="W12">
        <f ca="1"/>
        <v>46324.554708333337</v>
      </c>
      <c r="X12" t="str">
        <f ca="1"/>
        <v>Medium</v>
      </c>
      <c r="Z12" t="str">
        <f ca="1"/>
        <v>TRX0230</v>
      </c>
      <c r="AA12">
        <f ca="1"/>
        <v>45409</v>
      </c>
      <c r="AB12" t="str">
        <f ca="1"/>
        <v>CUST027</v>
      </c>
      <c r="AC12" t="str">
        <f ca="1"/>
        <v>George Adams</v>
      </c>
      <c r="AD12" t="str">
        <f ca="1"/>
        <v>P001</v>
      </c>
      <c r="AE12" t="str">
        <f ca="1"/>
        <v>Laptop</v>
      </c>
      <c r="AF12" t="str">
        <f ca="1"/>
        <v>Electronics</v>
      </c>
      <c r="AG12">
        <f ca="1"/>
        <v>1</v>
      </c>
      <c r="AH12">
        <f ca="1"/>
        <v>899.99</v>
      </c>
      <c r="AI12" t="str">
        <f ca="1"/>
        <v>Debit Card</v>
      </c>
      <c r="AJ12" t="str">
        <f ca="1"/>
        <v>North</v>
      </c>
      <c r="AK12" t="str">
        <f ca="1"/>
        <v>Standard</v>
      </c>
      <c r="AL12">
        <f ca="1"/>
        <v>44920</v>
      </c>
      <c r="AM12">
        <f ca="1"/>
        <v>899.99</v>
      </c>
      <c r="AN12">
        <f ca="1"/>
        <v>46324.554708333337</v>
      </c>
      <c r="AO12" t="str">
        <f ca="1"/>
        <v>Medium</v>
      </c>
      <c r="AQ12" t="str">
        <f ca="1"/>
        <v>TRX0117</v>
      </c>
      <c r="AR12">
        <f ca="1"/>
        <v>45444</v>
      </c>
      <c r="AS12" t="str">
        <f ca="1"/>
        <v>CUST017</v>
      </c>
      <c r="AT12" t="str">
        <f ca="1"/>
        <v>Charles Allen</v>
      </c>
      <c r="AU12" t="str">
        <f ca="1"/>
        <v>P010</v>
      </c>
      <c r="AV12" t="str">
        <f ca="1"/>
        <v>Keyboard</v>
      </c>
      <c r="AW12" t="str">
        <f ca="1"/>
        <v>Electronics</v>
      </c>
      <c r="AX12">
        <f ca="1"/>
        <v>1</v>
      </c>
      <c r="AY12">
        <f ca="1"/>
        <v>89.99</v>
      </c>
      <c r="AZ12" t="str">
        <f ca="1"/>
        <v>Cash</v>
      </c>
      <c r="BA12" t="str">
        <f ca="1"/>
        <v>North</v>
      </c>
      <c r="BB12" t="str">
        <f ca="1"/>
        <v>Basic</v>
      </c>
      <c r="BC12">
        <f ca="1"/>
        <v>45141</v>
      </c>
      <c r="BD12">
        <f ca="1"/>
        <v>89.99</v>
      </c>
      <c r="BE12">
        <f ca="1"/>
        <v>46324.554708333337</v>
      </c>
      <c r="BF12" t="str">
        <f ca="1"/>
        <v>Low</v>
      </c>
      <c r="BH12" t="str">
        <f ca="1"/>
        <v>TRX0246</v>
      </c>
      <c r="BI12">
        <f ca="1"/>
        <v>45408</v>
      </c>
      <c r="BJ12" t="str">
        <f ca="1"/>
        <v>CUST041</v>
      </c>
      <c r="BK12" t="str">
        <f ca="1"/>
        <v>Peter Richardson</v>
      </c>
      <c r="BL12" t="str">
        <f ca="1"/>
        <v>P008</v>
      </c>
      <c r="BM12" t="str">
        <f ca="1"/>
        <v>Bookshelf</v>
      </c>
      <c r="BN12" t="str">
        <f ca="1"/>
        <v>Furniture</v>
      </c>
      <c r="BO12">
        <f ca="1"/>
        <v>3</v>
      </c>
      <c r="BP12">
        <f ca="1"/>
        <v>149.99</v>
      </c>
      <c r="BQ12" t="str">
        <f ca="1"/>
        <v>Cash</v>
      </c>
      <c r="BR12" t="str">
        <f ca="1"/>
        <v>North</v>
      </c>
      <c r="BS12" t="str">
        <f ca="1"/>
        <v>Premium</v>
      </c>
      <c r="BT12">
        <f ca="1"/>
        <v>44806</v>
      </c>
      <c r="BU12">
        <f ca="1"/>
        <v>449.97</v>
      </c>
      <c r="BV12">
        <f ca="1"/>
        <v>46324.554708333337</v>
      </c>
      <c r="BW12" t="str">
        <f ca="1"/>
        <v>Low</v>
      </c>
    </row>
    <row r="13" spans="1:75">
      <c r="A13" t="str">
        <f>'Raw Data'!D7</f>
        <v>Dorothy Nelson</v>
      </c>
      <c r="B13" s="1">
        <f>'Raw Data'!M7</f>
        <v>44746</v>
      </c>
      <c r="C13">
        <f t="shared" ca="1" si="0"/>
        <v>4</v>
      </c>
      <c r="D13">
        <f t="shared" ca="1" si="1"/>
        <v>51</v>
      </c>
      <c r="E13" s="1">
        <f t="shared" si="2"/>
        <v>44773</v>
      </c>
      <c r="I13" t="str">
        <f ca="1"/>
        <v>TRX0134</v>
      </c>
      <c r="J13">
        <f ca="1"/>
        <v>45410</v>
      </c>
      <c r="K13" t="str">
        <f ca="1"/>
        <v>CUST010</v>
      </c>
      <c r="L13" t="str">
        <f ca="1"/>
        <v>Maria Garcia</v>
      </c>
      <c r="M13" t="str">
        <f ca="1"/>
        <v>P002</v>
      </c>
      <c r="N13" t="str">
        <f ca="1"/>
        <v>Smartphone</v>
      </c>
      <c r="O13" t="str">
        <f ca="1"/>
        <v>Electronics</v>
      </c>
      <c r="P13">
        <f ca="1"/>
        <v>2</v>
      </c>
      <c r="Q13">
        <f ca="1"/>
        <v>699.99</v>
      </c>
      <c r="R13" t="str">
        <f ca="1"/>
        <v>Cash</v>
      </c>
      <c r="S13" t="str">
        <f ca="1"/>
        <v>North</v>
      </c>
      <c r="T13" t="str">
        <f ca="1"/>
        <v>Basic</v>
      </c>
      <c r="U13">
        <f ca="1"/>
        <v>44781</v>
      </c>
      <c r="V13">
        <f ca="1"/>
        <v>1399.98</v>
      </c>
      <c r="W13">
        <f ca="1"/>
        <v>46324.554708333337</v>
      </c>
      <c r="X13" t="str">
        <f ca="1"/>
        <v>High</v>
      </c>
      <c r="Z13" t="str">
        <f ca="1"/>
        <v>TRX0049</v>
      </c>
      <c r="AA13">
        <f ca="1"/>
        <v>45410</v>
      </c>
      <c r="AB13" t="str">
        <f ca="1"/>
        <v>CUST025</v>
      </c>
      <c r="AC13" t="str">
        <f ca="1"/>
        <v>Mark Carter</v>
      </c>
      <c r="AD13" t="str">
        <f ca="1"/>
        <v>P008</v>
      </c>
      <c r="AE13" t="str">
        <f ca="1"/>
        <v>Bookshelf</v>
      </c>
      <c r="AF13" t="str">
        <f ca="1"/>
        <v>Furniture</v>
      </c>
      <c r="AG13">
        <f ca="1"/>
        <v>4</v>
      </c>
      <c r="AH13">
        <f ca="1"/>
        <v>149.99</v>
      </c>
      <c r="AI13" t="str">
        <f ca="1"/>
        <v>Debit Card</v>
      </c>
      <c r="AJ13" t="str">
        <f ca="1"/>
        <v>North</v>
      </c>
      <c r="AK13" t="str">
        <f ca="1"/>
        <v>Premium</v>
      </c>
      <c r="AL13">
        <f ca="1"/>
        <v>45374</v>
      </c>
      <c r="AM13">
        <f ca="1"/>
        <v>599.96</v>
      </c>
      <c r="AN13">
        <f ca="1"/>
        <v>46324.554708333337</v>
      </c>
      <c r="AO13" t="str">
        <f ca="1"/>
        <v>Medium</v>
      </c>
      <c r="AQ13" t="str">
        <f ca="1"/>
        <v>TRX0114</v>
      </c>
      <c r="AR13">
        <f ca="1"/>
        <v>45481</v>
      </c>
      <c r="AS13" t="str">
        <f ca="1"/>
        <v>CUST018</v>
      </c>
      <c r="AT13" t="str">
        <f ca="1"/>
        <v>Barbara Young</v>
      </c>
      <c r="AU13" t="str">
        <f ca="1"/>
        <v>P010</v>
      </c>
      <c r="AV13" t="str">
        <f ca="1"/>
        <v>Keyboard</v>
      </c>
      <c r="AW13" t="str">
        <f ca="1"/>
        <v>Electronics</v>
      </c>
      <c r="AX13">
        <f ca="1"/>
        <v>5</v>
      </c>
      <c r="AY13">
        <f ca="1"/>
        <v>89.99</v>
      </c>
      <c r="AZ13" t="str">
        <f ca="1"/>
        <v>Debit Card</v>
      </c>
      <c r="BA13" t="str">
        <f ca="1"/>
        <v>North</v>
      </c>
      <c r="BB13" t="str">
        <f ca="1"/>
        <v>Premium</v>
      </c>
      <c r="BC13">
        <f ca="1"/>
        <v>45161</v>
      </c>
      <c r="BD13">
        <f ca="1"/>
        <v>449.95</v>
      </c>
      <c r="BE13">
        <f ca="1"/>
        <v>46324.554708333337</v>
      </c>
      <c r="BF13" t="str">
        <f ca="1"/>
        <v>Low</v>
      </c>
      <c r="BH13" t="str">
        <f ca="1"/>
        <v>TRX0067</v>
      </c>
      <c r="BI13">
        <f ca="1"/>
        <v>45409</v>
      </c>
      <c r="BJ13" t="str">
        <f ca="1"/>
        <v>CUST043</v>
      </c>
      <c r="BK13" t="str">
        <f ca="1"/>
        <v>Dennis Gray</v>
      </c>
      <c r="BL13" t="str">
        <f ca="1"/>
        <v>P005</v>
      </c>
      <c r="BM13" t="str">
        <f ca="1"/>
        <v>Blender</v>
      </c>
      <c r="BN13" t="str">
        <f ca="1"/>
        <v>Appliances</v>
      </c>
      <c r="BO13">
        <f ca="1"/>
        <v>3</v>
      </c>
      <c r="BP13">
        <f ca="1"/>
        <v>59.99</v>
      </c>
      <c r="BQ13" t="str">
        <f ca="1"/>
        <v>Credit Card</v>
      </c>
      <c r="BR13" t="str">
        <f ca="1"/>
        <v>North</v>
      </c>
      <c r="BS13" t="str">
        <f ca="1"/>
        <v>Standard</v>
      </c>
      <c r="BT13">
        <f ca="1"/>
        <v>45351</v>
      </c>
      <c r="BU13">
        <f ca="1"/>
        <v>179.97</v>
      </c>
      <c r="BV13">
        <f ca="1"/>
        <v>46324.554708333337</v>
      </c>
      <c r="BW13" t="str">
        <f ca="1"/>
        <v>Low</v>
      </c>
    </row>
    <row r="14" spans="1:75">
      <c r="A14" t="str">
        <f>'Raw Data'!D8</f>
        <v>Dorothy Nelson</v>
      </c>
      <c r="B14" s="1">
        <f>'Raw Data'!M8</f>
        <v>44418</v>
      </c>
      <c r="C14">
        <f t="shared" ca="1" si="0"/>
        <v>5</v>
      </c>
      <c r="D14">
        <f t="shared" ca="1" si="1"/>
        <v>62</v>
      </c>
      <c r="E14" s="1">
        <f t="shared" si="2"/>
        <v>44439</v>
      </c>
      <c r="I14" t="str">
        <f ca="1"/>
        <v>TRX0122</v>
      </c>
      <c r="J14">
        <f ca="1"/>
        <v>45410</v>
      </c>
      <c r="K14" t="str">
        <f ca="1"/>
        <v>CUST025</v>
      </c>
      <c r="L14" t="str">
        <f ca="1"/>
        <v>Mark Carter</v>
      </c>
      <c r="M14" t="str">
        <f ca="1"/>
        <v>P001</v>
      </c>
      <c r="N14" t="str">
        <f ca="1"/>
        <v>Laptop</v>
      </c>
      <c r="O14" t="str">
        <f ca="1"/>
        <v>Electronics</v>
      </c>
      <c r="P14">
        <f ca="1"/>
        <v>4</v>
      </c>
      <c r="Q14">
        <f ca="1"/>
        <v>899.99</v>
      </c>
      <c r="R14" t="str">
        <f ca="1"/>
        <v>Credit Card</v>
      </c>
      <c r="S14" t="str">
        <f ca="1"/>
        <v>West</v>
      </c>
      <c r="T14" t="str">
        <f ca="1"/>
        <v>Standard</v>
      </c>
      <c r="U14">
        <f ca="1"/>
        <v>45327</v>
      </c>
      <c r="V14">
        <f ca="1"/>
        <v>3599.96</v>
      </c>
      <c r="W14">
        <f ca="1"/>
        <v>46324.554708333337</v>
      </c>
      <c r="X14" t="str">
        <f ca="1"/>
        <v>High</v>
      </c>
      <c r="Z14" t="str">
        <f ca="1"/>
        <v>TRX0134</v>
      </c>
      <c r="AA14">
        <f ca="1"/>
        <v>45410</v>
      </c>
      <c r="AB14" t="str">
        <f ca="1"/>
        <v>CUST010</v>
      </c>
      <c r="AC14" t="str">
        <f ca="1"/>
        <v>Maria Garcia</v>
      </c>
      <c r="AD14" t="str">
        <f ca="1"/>
        <v>P002</v>
      </c>
      <c r="AE14" t="str">
        <f ca="1"/>
        <v>Smartphone</v>
      </c>
      <c r="AF14" t="str">
        <f ca="1"/>
        <v>Electronics</v>
      </c>
      <c r="AG14">
        <f ca="1"/>
        <v>2</v>
      </c>
      <c r="AH14">
        <f ca="1"/>
        <v>699.99</v>
      </c>
      <c r="AI14" t="str">
        <f ca="1"/>
        <v>Cash</v>
      </c>
      <c r="AJ14" t="str">
        <f ca="1"/>
        <v>North</v>
      </c>
      <c r="AK14" t="str">
        <f ca="1"/>
        <v>Basic</v>
      </c>
      <c r="AL14">
        <f ca="1"/>
        <v>44781</v>
      </c>
      <c r="AM14">
        <f ca="1"/>
        <v>1399.98</v>
      </c>
      <c r="AN14">
        <f ca="1"/>
        <v>46324.554708333337</v>
      </c>
      <c r="AO14" t="str">
        <f ca="1"/>
        <v>High</v>
      </c>
      <c r="AQ14" t="str">
        <f ca="1"/>
        <v>TRX0080</v>
      </c>
      <c r="AR14">
        <f ca="1"/>
        <v>45500</v>
      </c>
      <c r="AS14" t="str">
        <f ca="1"/>
        <v>CUST018</v>
      </c>
      <c r="AT14" t="str">
        <f ca="1"/>
        <v>Barbara Young</v>
      </c>
      <c r="AU14" t="str">
        <f ca="1"/>
        <v>P009</v>
      </c>
      <c r="AV14" t="str">
        <f ca="1"/>
        <v>Monitor</v>
      </c>
      <c r="AW14" t="str">
        <f ca="1"/>
        <v>Electronics</v>
      </c>
      <c r="AX14">
        <f ca="1"/>
        <v>2</v>
      </c>
      <c r="AY14">
        <f ca="1"/>
        <v>249.99</v>
      </c>
      <c r="AZ14" t="str">
        <f ca="1"/>
        <v>Cash</v>
      </c>
      <c r="BA14" t="str">
        <f ca="1"/>
        <v>North</v>
      </c>
      <c r="BB14" t="str">
        <f ca="1"/>
        <v>Premium</v>
      </c>
      <c r="BC14">
        <f ca="1"/>
        <v>45164</v>
      </c>
      <c r="BD14">
        <f ca="1"/>
        <v>499.98</v>
      </c>
      <c r="BE14">
        <f ca="1"/>
        <v>46324.554708333337</v>
      </c>
      <c r="BF14" t="str">
        <f ca="1"/>
        <v>Low</v>
      </c>
      <c r="BH14" t="str">
        <f ca="1"/>
        <v>TRX0230</v>
      </c>
      <c r="BI14">
        <f ca="1"/>
        <v>45409</v>
      </c>
      <c r="BJ14" t="str">
        <f ca="1"/>
        <v>CUST027</v>
      </c>
      <c r="BK14" t="str">
        <f ca="1"/>
        <v>George Adams</v>
      </c>
      <c r="BL14" t="str">
        <f ca="1"/>
        <v>P001</v>
      </c>
      <c r="BM14" t="str">
        <f ca="1"/>
        <v>Laptop</v>
      </c>
      <c r="BN14" t="str">
        <f ca="1"/>
        <v>Electronics</v>
      </c>
      <c r="BO14">
        <f ca="1"/>
        <v>1</v>
      </c>
      <c r="BP14">
        <f ca="1"/>
        <v>899.99</v>
      </c>
      <c r="BQ14" t="str">
        <f ca="1"/>
        <v>Debit Card</v>
      </c>
      <c r="BR14" t="str">
        <f ca="1"/>
        <v>North</v>
      </c>
      <c r="BS14" t="str">
        <f ca="1"/>
        <v>Standard</v>
      </c>
      <c r="BT14">
        <f ca="1"/>
        <v>44920</v>
      </c>
      <c r="BU14">
        <f ca="1"/>
        <v>899.99</v>
      </c>
      <c r="BV14">
        <f ca="1"/>
        <v>46324.554708333337</v>
      </c>
      <c r="BW14" t="str">
        <f ca="1"/>
        <v>Medium</v>
      </c>
    </row>
    <row r="15" spans="1:75">
      <c r="A15" t="str">
        <f>'Raw Data'!D9</f>
        <v>Charles Allen</v>
      </c>
      <c r="B15" s="1">
        <f>'Raw Data'!M9</f>
        <v>45007</v>
      </c>
      <c r="C15">
        <f t="shared" ca="1" si="0"/>
        <v>3</v>
      </c>
      <c r="D15">
        <f t="shared" ca="1" si="1"/>
        <v>43</v>
      </c>
      <c r="E15" s="1">
        <f t="shared" si="2"/>
        <v>45016</v>
      </c>
      <c r="I15" t="str">
        <f ca="1"/>
        <v>TRX0222</v>
      </c>
      <c r="J15">
        <f ca="1"/>
        <v>45410</v>
      </c>
      <c r="K15" t="str">
        <f ca="1"/>
        <v>CUST048</v>
      </c>
      <c r="L15" t="str">
        <f ca="1"/>
        <v>Virginia Sanders</v>
      </c>
      <c r="M15" t="str">
        <f ca="1"/>
        <v>P009</v>
      </c>
      <c r="N15" t="str">
        <f ca="1"/>
        <v>Monitor</v>
      </c>
      <c r="O15" t="str">
        <f ca="1"/>
        <v>Electronics</v>
      </c>
      <c r="P15">
        <f ca="1"/>
        <v>3</v>
      </c>
      <c r="Q15">
        <f ca="1"/>
        <v>249.99</v>
      </c>
      <c r="R15" t="str">
        <f ca="1"/>
        <v>Credit Card</v>
      </c>
      <c r="S15" t="str">
        <f ca="1"/>
        <v>North</v>
      </c>
      <c r="T15" t="str">
        <f ca="1"/>
        <v>Premium</v>
      </c>
      <c r="U15">
        <f ca="1"/>
        <v>45224</v>
      </c>
      <c r="V15">
        <f ca="1"/>
        <v>749.97</v>
      </c>
      <c r="W15">
        <f ca="1"/>
        <v>46324.554708333337</v>
      </c>
      <c r="X15" t="str">
        <f ca="1"/>
        <v>Medium</v>
      </c>
      <c r="Z15" t="str">
        <f ca="1"/>
        <v>TRX0222</v>
      </c>
      <c r="AA15">
        <f ca="1"/>
        <v>45410</v>
      </c>
      <c r="AB15" t="str">
        <f ca="1"/>
        <v>CUST048</v>
      </c>
      <c r="AC15" t="str">
        <f ca="1"/>
        <v>Virginia Sanders</v>
      </c>
      <c r="AD15" t="str">
        <f ca="1"/>
        <v>P009</v>
      </c>
      <c r="AE15" t="str">
        <f ca="1"/>
        <v>Monitor</v>
      </c>
      <c r="AF15" t="str">
        <f ca="1"/>
        <v>Electronics</v>
      </c>
      <c r="AG15">
        <f ca="1"/>
        <v>3</v>
      </c>
      <c r="AH15">
        <f ca="1"/>
        <v>249.99</v>
      </c>
      <c r="AI15" t="str">
        <f ca="1"/>
        <v>Credit Card</v>
      </c>
      <c r="AJ15" t="str">
        <f ca="1"/>
        <v>North</v>
      </c>
      <c r="AK15" t="str">
        <f ca="1"/>
        <v>Premium</v>
      </c>
      <c r="AL15">
        <f ca="1"/>
        <v>45224</v>
      </c>
      <c r="AM15">
        <f ca="1"/>
        <v>749.97</v>
      </c>
      <c r="AN15">
        <f ca="1"/>
        <v>46324.554708333337</v>
      </c>
      <c r="AO15" t="str">
        <f ca="1"/>
        <v>Medium</v>
      </c>
      <c r="AQ15" t="str">
        <f ca="1"/>
        <v>TRX0217</v>
      </c>
      <c r="AR15">
        <f ca="1"/>
        <v>45503</v>
      </c>
      <c r="AS15" t="str">
        <f ca="1"/>
        <v>CUST025</v>
      </c>
      <c r="AT15" t="str">
        <f ca="1"/>
        <v>Mark Carter</v>
      </c>
      <c r="AU15" t="str">
        <f ca="1"/>
        <v>P002</v>
      </c>
      <c r="AV15" t="str">
        <f ca="1"/>
        <v>Smartphone</v>
      </c>
      <c r="AW15" t="str">
        <f ca="1"/>
        <v>Electronics</v>
      </c>
      <c r="AX15">
        <f ca="1"/>
        <v>2</v>
      </c>
      <c r="AY15">
        <f ca="1"/>
        <v>699.99</v>
      </c>
      <c r="AZ15" t="str">
        <f ca="1"/>
        <v>Credit Card</v>
      </c>
      <c r="BA15" t="str">
        <f ca="1"/>
        <v>North</v>
      </c>
      <c r="BB15" t="str">
        <f ca="1"/>
        <v>Premium</v>
      </c>
      <c r="BC15">
        <f ca="1"/>
        <v>44999</v>
      </c>
      <c r="BD15">
        <f ca="1"/>
        <v>1399.98</v>
      </c>
      <c r="BE15">
        <f ca="1"/>
        <v>46324.554708333337</v>
      </c>
      <c r="BF15" t="str">
        <f ca="1"/>
        <v>High</v>
      </c>
      <c r="BH15" t="str">
        <f ca="1"/>
        <v>TRX0049</v>
      </c>
      <c r="BI15">
        <f ca="1"/>
        <v>45410</v>
      </c>
      <c r="BJ15" t="str">
        <f ca="1"/>
        <v>CUST025</v>
      </c>
      <c r="BK15" t="str">
        <f ca="1"/>
        <v>Mark Carter</v>
      </c>
      <c r="BL15" t="str">
        <f ca="1"/>
        <v>P008</v>
      </c>
      <c r="BM15" t="str">
        <f ca="1"/>
        <v>Bookshelf</v>
      </c>
      <c r="BN15" t="str">
        <f ca="1"/>
        <v>Furniture</v>
      </c>
      <c r="BO15">
        <f ca="1"/>
        <v>4</v>
      </c>
      <c r="BP15">
        <f ca="1"/>
        <v>149.99</v>
      </c>
      <c r="BQ15" t="str">
        <f ca="1"/>
        <v>Debit Card</v>
      </c>
      <c r="BR15" t="str">
        <f ca="1"/>
        <v>North</v>
      </c>
      <c r="BS15" t="str">
        <f ca="1"/>
        <v>Premium</v>
      </c>
      <c r="BT15">
        <f ca="1"/>
        <v>45374</v>
      </c>
      <c r="BU15">
        <f ca="1"/>
        <v>599.96</v>
      </c>
      <c r="BV15">
        <f ca="1"/>
        <v>46324.554708333337</v>
      </c>
      <c r="BW15" t="str">
        <f ca="1"/>
        <v>Medium</v>
      </c>
    </row>
    <row r="16" spans="1:75">
      <c r="A16" t="str">
        <f>'Raw Data'!D10</f>
        <v>Robert Thomas</v>
      </c>
      <c r="B16" s="1">
        <f>'Raw Data'!M10</f>
        <v>45299</v>
      </c>
      <c r="C16">
        <f t="shared" ca="1" si="0"/>
        <v>2</v>
      </c>
      <c r="D16">
        <f t="shared" ca="1" si="1"/>
        <v>33</v>
      </c>
      <c r="E16" s="1">
        <f t="shared" si="2"/>
        <v>45322</v>
      </c>
      <c r="I16" t="str">
        <f ca="1"/>
        <v>TRX0231</v>
      </c>
      <c r="J16">
        <f ca="1"/>
        <v>45412</v>
      </c>
      <c r="K16" t="str">
        <f ca="1"/>
        <v>CUST018</v>
      </c>
      <c r="L16" t="str">
        <f ca="1"/>
        <v>Barbara Young</v>
      </c>
      <c r="M16" t="str">
        <f ca="1"/>
        <v>P002</v>
      </c>
      <c r="N16" t="str">
        <f ca="1"/>
        <v>Smartphone</v>
      </c>
      <c r="O16" t="str">
        <f ca="1"/>
        <v>Electronics</v>
      </c>
      <c r="P16">
        <f ca="1"/>
        <v>5</v>
      </c>
      <c r="Q16">
        <f ca="1"/>
        <v>699.99</v>
      </c>
      <c r="R16" t="str">
        <f ca="1"/>
        <v>Cash</v>
      </c>
      <c r="S16" t="str">
        <f ca="1"/>
        <v>West</v>
      </c>
      <c r="T16" t="str">
        <f ca="1"/>
        <v>Basic</v>
      </c>
      <c r="U16">
        <f ca="1"/>
        <v>45167</v>
      </c>
      <c r="V16">
        <f ca="1"/>
        <v>3499.95</v>
      </c>
      <c r="W16">
        <f ca="1"/>
        <v>46324.554708333337</v>
      </c>
      <c r="X16" t="str">
        <f ca="1"/>
        <v>High</v>
      </c>
      <c r="Z16" t="str">
        <f ca="1"/>
        <v>TRX0204</v>
      </c>
      <c r="AA16">
        <f ca="1"/>
        <v>45415</v>
      </c>
      <c r="AB16" t="str">
        <f ca="1"/>
        <v>CUST044</v>
      </c>
      <c r="AC16" t="str">
        <f ca="1"/>
        <v>Cynthia Price</v>
      </c>
      <c r="AD16" t="str">
        <f ca="1"/>
        <v>P009</v>
      </c>
      <c r="AE16" t="str">
        <f ca="1"/>
        <v>Monitor</v>
      </c>
      <c r="AF16" t="str">
        <f ca="1"/>
        <v>Electronics</v>
      </c>
      <c r="AG16">
        <f ca="1"/>
        <v>4</v>
      </c>
      <c r="AH16">
        <f ca="1"/>
        <v>249.99</v>
      </c>
      <c r="AI16" t="str">
        <f ca="1"/>
        <v>PayPal</v>
      </c>
      <c r="AJ16" t="str">
        <f ca="1"/>
        <v>North</v>
      </c>
      <c r="AK16" t="str">
        <f ca="1"/>
        <v>Standard</v>
      </c>
      <c r="AL16">
        <f ca="1"/>
        <v>44468</v>
      </c>
      <c r="AM16">
        <f ca="1"/>
        <v>999.96</v>
      </c>
      <c r="AN16">
        <f ca="1"/>
        <v>46324.554708333337</v>
      </c>
      <c r="AO16" t="str">
        <f ca="1"/>
        <v>Medium</v>
      </c>
      <c r="AQ16" t="str">
        <f ca="1"/>
        <v>TRX0101</v>
      </c>
      <c r="AR16">
        <f ca="1"/>
        <v>45513</v>
      </c>
      <c r="AS16" t="str">
        <f ca="1"/>
        <v>CUST010</v>
      </c>
      <c r="AT16" t="str">
        <f ca="1"/>
        <v>Maria Garcia</v>
      </c>
      <c r="AU16" t="str">
        <f ca="1"/>
        <v>P010</v>
      </c>
      <c r="AV16" t="str">
        <f ca="1"/>
        <v>Keyboard</v>
      </c>
      <c r="AW16" t="str">
        <f ca="1"/>
        <v>Electronics</v>
      </c>
      <c r="AX16">
        <f ca="1"/>
        <v>1</v>
      </c>
      <c r="AY16">
        <f ca="1"/>
        <v>89.99</v>
      </c>
      <c r="AZ16" t="str">
        <f ca="1"/>
        <v>Credit Card</v>
      </c>
      <c r="BA16" t="str">
        <f ca="1"/>
        <v>North</v>
      </c>
      <c r="BB16" t="str">
        <f ca="1"/>
        <v>Standard</v>
      </c>
      <c r="BC16">
        <f ca="1"/>
        <v>45393</v>
      </c>
      <c r="BD16">
        <f ca="1"/>
        <v>89.99</v>
      </c>
      <c r="BE16">
        <f ca="1"/>
        <v>46324.554708333337</v>
      </c>
      <c r="BF16" t="str">
        <f ca="1"/>
        <v>Low</v>
      </c>
      <c r="BH16" t="str">
        <f ca="1"/>
        <v>TRX0134</v>
      </c>
      <c r="BI16">
        <f ca="1"/>
        <v>45410</v>
      </c>
      <c r="BJ16" t="str">
        <f ca="1"/>
        <v>CUST010</v>
      </c>
      <c r="BK16" t="str">
        <f ca="1"/>
        <v>Maria Garcia</v>
      </c>
      <c r="BL16" t="str">
        <f ca="1"/>
        <v>P002</v>
      </c>
      <c r="BM16" t="str">
        <f ca="1"/>
        <v>Smartphone</v>
      </c>
      <c r="BN16" t="str">
        <f ca="1"/>
        <v>Electronics</v>
      </c>
      <c r="BO16">
        <f ca="1"/>
        <v>2</v>
      </c>
      <c r="BP16">
        <f ca="1"/>
        <v>699.99</v>
      </c>
      <c r="BQ16" t="str">
        <f ca="1"/>
        <v>Cash</v>
      </c>
      <c r="BR16" t="str">
        <f ca="1"/>
        <v>North</v>
      </c>
      <c r="BS16" t="str">
        <f ca="1"/>
        <v>Basic</v>
      </c>
      <c r="BT16">
        <f ca="1"/>
        <v>44781</v>
      </c>
      <c r="BU16">
        <f ca="1"/>
        <v>1399.98</v>
      </c>
      <c r="BV16">
        <f ca="1"/>
        <v>46324.554708333337</v>
      </c>
      <c r="BW16" t="str">
        <f ca="1"/>
        <v>High</v>
      </c>
    </row>
    <row r="17" spans="1:75">
      <c r="A17" t="str">
        <f>'Raw Data'!D11</f>
        <v>Karen Hill</v>
      </c>
      <c r="B17" s="1">
        <f>'Raw Data'!M11</f>
        <v>45207</v>
      </c>
      <c r="C17">
        <f t="shared" ca="1" si="0"/>
        <v>3</v>
      </c>
      <c r="D17">
        <f t="shared" ca="1" si="1"/>
        <v>36</v>
      </c>
      <c r="E17" s="1">
        <f t="shared" si="2"/>
        <v>45230</v>
      </c>
      <c r="I17" t="str">
        <f ca="1"/>
        <v>TRX0239</v>
      </c>
      <c r="J17">
        <f ca="1"/>
        <v>45413</v>
      </c>
      <c r="K17" t="str">
        <f ca="1"/>
        <v>CUST012</v>
      </c>
      <c r="L17" t="str">
        <f ca="1"/>
        <v>Patricia Moore</v>
      </c>
      <c r="M17" t="str">
        <f ca="1"/>
        <v>P002</v>
      </c>
      <c r="N17" t="str">
        <f ca="1"/>
        <v>Smartphone</v>
      </c>
      <c r="O17" t="str">
        <f ca="1"/>
        <v>Electronics</v>
      </c>
      <c r="P17">
        <f ca="1"/>
        <v>4</v>
      </c>
      <c r="Q17">
        <f ca="1"/>
        <v>699.99</v>
      </c>
      <c r="R17" t="str">
        <f ca="1"/>
        <v>Cash</v>
      </c>
      <c r="S17" t="str">
        <f ca="1"/>
        <v>East</v>
      </c>
      <c r="T17" t="str">
        <f ca="1"/>
        <v>Standard</v>
      </c>
      <c r="U17">
        <f ca="1"/>
        <v>44409</v>
      </c>
      <c r="V17">
        <f ca="1"/>
        <v>2799.96</v>
      </c>
      <c r="W17">
        <f ca="1"/>
        <v>46324.554708333337</v>
      </c>
      <c r="X17" t="str">
        <f ca="1"/>
        <v>High</v>
      </c>
      <c r="Z17" t="str">
        <f ca="1"/>
        <v>TRX0004</v>
      </c>
      <c r="AA17">
        <f ca="1"/>
        <v>45424</v>
      </c>
      <c r="AB17" t="str">
        <f ca="1"/>
        <v>CUST012</v>
      </c>
      <c r="AC17" t="str">
        <f ca="1"/>
        <v>Patricia Moore</v>
      </c>
      <c r="AD17" t="str">
        <f ca="1"/>
        <v>P010</v>
      </c>
      <c r="AE17" t="str">
        <f ca="1"/>
        <v>Keyboard</v>
      </c>
      <c r="AF17" t="str">
        <f ca="1"/>
        <v>Electronics</v>
      </c>
      <c r="AG17">
        <f ca="1"/>
        <v>5</v>
      </c>
      <c r="AH17">
        <f ca="1"/>
        <v>89.99</v>
      </c>
      <c r="AI17" t="str">
        <f ca="1"/>
        <v>Cash</v>
      </c>
      <c r="AJ17" t="str">
        <f ca="1"/>
        <v>North</v>
      </c>
      <c r="AK17" t="str">
        <f ca="1"/>
        <v>Premium</v>
      </c>
      <c r="AL17">
        <f ca="1"/>
        <v>44919</v>
      </c>
      <c r="AM17">
        <f ca="1"/>
        <v>449.95</v>
      </c>
      <c r="AN17">
        <f ca="1"/>
        <v>46324.554708333337</v>
      </c>
      <c r="AO17" t="str">
        <f ca="1"/>
        <v>Low</v>
      </c>
      <c r="AQ17" t="str">
        <f ca="1"/>
        <v>TRX0098</v>
      </c>
      <c r="AR17">
        <f ca="1"/>
        <v>45517</v>
      </c>
      <c r="AS17" t="str">
        <f ca="1"/>
        <v>CUST026</v>
      </c>
      <c r="AT17" t="str">
        <f ca="1"/>
        <v>Karen Hill</v>
      </c>
      <c r="AU17" t="str">
        <f ca="1"/>
        <v>P009</v>
      </c>
      <c r="AV17" t="str">
        <f ca="1"/>
        <v>Monitor</v>
      </c>
      <c r="AW17" t="str">
        <f ca="1"/>
        <v>Electronics</v>
      </c>
      <c r="AX17">
        <f ca="1"/>
        <v>3</v>
      </c>
      <c r="AY17">
        <f ca="1"/>
        <v>249.99</v>
      </c>
      <c r="AZ17" t="str">
        <f ca="1"/>
        <v>PayPal</v>
      </c>
      <c r="BA17" t="str">
        <f ca="1"/>
        <v>North</v>
      </c>
      <c r="BB17" t="str">
        <f ca="1"/>
        <v>Premium</v>
      </c>
      <c r="BC17">
        <f ca="1"/>
        <v>44465</v>
      </c>
      <c r="BD17">
        <f ca="1"/>
        <v>749.97</v>
      </c>
      <c r="BE17">
        <f ca="1"/>
        <v>46324.554708333337</v>
      </c>
      <c r="BF17" t="str">
        <f ca="1"/>
        <v>Medium</v>
      </c>
      <c r="BH17" t="str">
        <f ca="1"/>
        <v>TRX0222</v>
      </c>
      <c r="BI17">
        <f ca="1"/>
        <v>45410</v>
      </c>
      <c r="BJ17" t="str">
        <f ca="1"/>
        <v>CUST048</v>
      </c>
      <c r="BK17" t="str">
        <f ca="1"/>
        <v>Virginia Sanders</v>
      </c>
      <c r="BL17" t="str">
        <f ca="1"/>
        <v>P009</v>
      </c>
      <c r="BM17" t="str">
        <f ca="1"/>
        <v>Monitor</v>
      </c>
      <c r="BN17" t="str">
        <f ca="1"/>
        <v>Electronics</v>
      </c>
      <c r="BO17">
        <f ca="1"/>
        <v>3</v>
      </c>
      <c r="BP17">
        <f ca="1"/>
        <v>249.99</v>
      </c>
      <c r="BQ17" t="str">
        <f ca="1"/>
        <v>Credit Card</v>
      </c>
      <c r="BR17" t="str">
        <f ca="1"/>
        <v>North</v>
      </c>
      <c r="BS17" t="str">
        <f ca="1"/>
        <v>Premium</v>
      </c>
      <c r="BT17">
        <f ca="1"/>
        <v>45224</v>
      </c>
      <c r="BU17">
        <f ca="1"/>
        <v>749.97</v>
      </c>
      <c r="BV17">
        <f ca="1"/>
        <v>46324.554708333337</v>
      </c>
      <c r="BW17" t="str">
        <f ca="1"/>
        <v>Medium</v>
      </c>
    </row>
    <row r="18" spans="1:75">
      <c r="A18" t="str">
        <f>'Raw Data'!D12</f>
        <v>Susan Green</v>
      </c>
      <c r="B18" s="1">
        <f>'Raw Data'!M12</f>
        <v>45103</v>
      </c>
      <c r="C18">
        <f t="shared" ca="1" si="0"/>
        <v>3</v>
      </c>
      <c r="D18">
        <f t="shared" ca="1" si="1"/>
        <v>40</v>
      </c>
      <c r="E18" s="1">
        <f t="shared" si="2"/>
        <v>45107</v>
      </c>
      <c r="I18" t="str">
        <f ca="1"/>
        <v>TRX0204</v>
      </c>
      <c r="J18">
        <f ca="1"/>
        <v>45415</v>
      </c>
      <c r="K18" t="str">
        <f ca="1"/>
        <v>CUST044</v>
      </c>
      <c r="L18" t="str">
        <f ca="1"/>
        <v>Cynthia Price</v>
      </c>
      <c r="M18" t="str">
        <f ca="1"/>
        <v>P009</v>
      </c>
      <c r="N18" t="str">
        <f ca="1"/>
        <v>Monitor</v>
      </c>
      <c r="O18" t="str">
        <f ca="1"/>
        <v>Electronics</v>
      </c>
      <c r="P18">
        <f ca="1"/>
        <v>4</v>
      </c>
      <c r="Q18">
        <f ca="1"/>
        <v>249.99</v>
      </c>
      <c r="R18" t="str">
        <f ca="1"/>
        <v>PayPal</v>
      </c>
      <c r="S18" t="str">
        <f ca="1"/>
        <v>North</v>
      </c>
      <c r="T18" t="str">
        <f ca="1"/>
        <v>Standard</v>
      </c>
      <c r="U18">
        <f ca="1"/>
        <v>44468</v>
      </c>
      <c r="V18">
        <f ca="1"/>
        <v>999.96</v>
      </c>
      <c r="W18">
        <f ca="1"/>
        <v>46324.554708333337</v>
      </c>
      <c r="X18" t="str">
        <f ca="1"/>
        <v>Medium</v>
      </c>
      <c r="Z18" t="str">
        <f ca="1"/>
        <v>TRX0245</v>
      </c>
      <c r="AA18">
        <f ca="1"/>
        <v>45438</v>
      </c>
      <c r="AB18" t="str">
        <f ca="1"/>
        <v>CUST031</v>
      </c>
      <c r="AC18" t="str">
        <f ca="1"/>
        <v>Steven Turner</v>
      </c>
      <c r="AD18" t="str">
        <f ca="1"/>
        <v>P006</v>
      </c>
      <c r="AE18" t="str">
        <f ca="1"/>
        <v>Office Chair</v>
      </c>
      <c r="AF18" t="str">
        <f ca="1"/>
        <v>Furniture</v>
      </c>
      <c r="AG18">
        <f ca="1"/>
        <v>3</v>
      </c>
      <c r="AH18">
        <f ca="1"/>
        <v>199.99</v>
      </c>
      <c r="AI18" t="str">
        <f ca="1"/>
        <v>Credit Card</v>
      </c>
      <c r="AJ18" t="str">
        <f ca="1"/>
        <v>North</v>
      </c>
      <c r="AK18" t="str">
        <f ca="1"/>
        <v>Premium</v>
      </c>
      <c r="AL18">
        <f ca="1"/>
        <v>45292</v>
      </c>
      <c r="AM18">
        <f ca="1"/>
        <v>599.97</v>
      </c>
      <c r="AN18">
        <f ca="1"/>
        <v>46324.554708333337</v>
      </c>
      <c r="AO18" t="str">
        <f ca="1"/>
        <v>Medium</v>
      </c>
      <c r="AQ18" t="str">
        <f ca="1"/>
        <v>TRX0248</v>
      </c>
      <c r="AR18">
        <f ca="1"/>
        <v>45534</v>
      </c>
      <c r="AS18" t="str">
        <f ca="1"/>
        <v>CUST032</v>
      </c>
      <c r="AT18" t="str">
        <f ca="1"/>
        <v>Sandra Phillips</v>
      </c>
      <c r="AU18" t="str">
        <f ca="1"/>
        <v>P002</v>
      </c>
      <c r="AV18" t="str">
        <f ca="1"/>
        <v>Smartphone</v>
      </c>
      <c r="AW18" t="str">
        <f ca="1"/>
        <v>Electronics</v>
      </c>
      <c r="AX18">
        <f ca="1"/>
        <v>2</v>
      </c>
      <c r="AY18">
        <f ca="1"/>
        <v>699.99</v>
      </c>
      <c r="AZ18" t="str">
        <f ca="1"/>
        <v>Credit Card</v>
      </c>
      <c r="BA18" t="str">
        <f ca="1"/>
        <v>North</v>
      </c>
      <c r="BB18" t="str">
        <f ca="1"/>
        <v>Premium</v>
      </c>
      <c r="BC18">
        <f ca="1"/>
        <v>44421</v>
      </c>
      <c r="BD18">
        <f ca="1"/>
        <v>1399.98</v>
      </c>
      <c r="BE18">
        <f ca="1"/>
        <v>46324.554708333337</v>
      </c>
      <c r="BF18" t="str">
        <f ca="1"/>
        <v>High</v>
      </c>
      <c r="BH18" t="str">
        <f ca="1"/>
        <v>TRX0204</v>
      </c>
      <c r="BI18">
        <f ca="1"/>
        <v>45415</v>
      </c>
      <c r="BJ18" t="str">
        <f ca="1"/>
        <v>CUST044</v>
      </c>
      <c r="BK18" t="str">
        <f ca="1"/>
        <v>Cynthia Price</v>
      </c>
      <c r="BL18" t="str">
        <f ca="1"/>
        <v>P009</v>
      </c>
      <c r="BM18" t="str">
        <f ca="1"/>
        <v>Monitor</v>
      </c>
      <c r="BN18" t="str">
        <f ca="1"/>
        <v>Electronics</v>
      </c>
      <c r="BO18">
        <f ca="1"/>
        <v>4</v>
      </c>
      <c r="BP18">
        <f ca="1"/>
        <v>249.99</v>
      </c>
      <c r="BQ18" t="str">
        <f ca="1"/>
        <v>PayPal</v>
      </c>
      <c r="BR18" t="str">
        <f ca="1"/>
        <v>North</v>
      </c>
      <c r="BS18" t="str">
        <f ca="1"/>
        <v>Standard</v>
      </c>
      <c r="BT18">
        <f ca="1"/>
        <v>44468</v>
      </c>
      <c r="BU18">
        <f ca="1"/>
        <v>999.96</v>
      </c>
      <c r="BV18">
        <f ca="1"/>
        <v>46324.554708333337</v>
      </c>
      <c r="BW18" t="str">
        <f ca="1"/>
        <v>Medium</v>
      </c>
    </row>
    <row r="19" spans="1:75">
      <c r="A19" t="str">
        <f>'Raw Data'!D13</f>
        <v>Kathleen Bennett</v>
      </c>
      <c r="B19" s="1">
        <f>'Raw Data'!M13</f>
        <v>44830</v>
      </c>
      <c r="C19">
        <f t="shared" ca="1" si="0"/>
        <v>4</v>
      </c>
      <c r="D19">
        <f t="shared" ca="1" si="1"/>
        <v>49</v>
      </c>
      <c r="E19" s="1">
        <f t="shared" si="2"/>
        <v>44834</v>
      </c>
      <c r="I19" t="str">
        <f ca="1"/>
        <v>TRX0071</v>
      </c>
      <c r="J19">
        <f ca="1"/>
        <v>45422</v>
      </c>
      <c r="K19" t="str">
        <f ca="1"/>
        <v>CUST036</v>
      </c>
      <c r="L19" t="str">
        <f ca="1"/>
        <v>Nancy Collins</v>
      </c>
      <c r="M19" t="str">
        <f ca="1"/>
        <v>P009</v>
      </c>
      <c r="N19" t="str">
        <f ca="1"/>
        <v>Monitor</v>
      </c>
      <c r="O19" t="str">
        <f ca="1"/>
        <v>Electronics</v>
      </c>
      <c r="P19">
        <f ca="1"/>
        <v>5</v>
      </c>
      <c r="Q19">
        <f ca="1"/>
        <v>249.99</v>
      </c>
      <c r="R19" t="str">
        <f ca="1"/>
        <v>Credit Card</v>
      </c>
      <c r="S19" t="str">
        <f ca="1"/>
        <v>West</v>
      </c>
      <c r="T19" t="str">
        <f ca="1"/>
        <v>Standard</v>
      </c>
      <c r="U19">
        <f ca="1"/>
        <v>44525</v>
      </c>
      <c r="V19">
        <f ca="1"/>
        <v>1249.95</v>
      </c>
      <c r="W19">
        <f ca="1"/>
        <v>46324.554708333337</v>
      </c>
      <c r="X19" t="str">
        <f ca="1"/>
        <v>High</v>
      </c>
      <c r="Z19" t="str">
        <f ca="1"/>
        <v>TRX0042</v>
      </c>
      <c r="AA19">
        <f ca="1"/>
        <v>45443</v>
      </c>
      <c r="AB19" t="str">
        <f ca="1"/>
        <v>CUST019</v>
      </c>
      <c r="AC19" t="str">
        <f ca="1"/>
        <v>Daniel King</v>
      </c>
      <c r="AD19" t="str">
        <f ca="1"/>
        <v>P004</v>
      </c>
      <c r="AE19" t="str">
        <f ca="1"/>
        <v>Coffee Maker</v>
      </c>
      <c r="AF19" t="str">
        <f ca="1"/>
        <v>Appliances</v>
      </c>
      <c r="AG19">
        <f ca="1"/>
        <v>1</v>
      </c>
      <c r="AH19">
        <f ca="1"/>
        <v>79.989999999999995</v>
      </c>
      <c r="AI19" t="str">
        <f ca="1"/>
        <v>Cash</v>
      </c>
      <c r="AJ19" t="str">
        <f ca="1"/>
        <v>North</v>
      </c>
      <c r="AK19" t="str">
        <f ca="1"/>
        <v>Standard</v>
      </c>
      <c r="AL19">
        <f ca="1"/>
        <v>44917</v>
      </c>
      <c r="AM19">
        <f ca="1"/>
        <v>79.989999999999995</v>
      </c>
      <c r="AN19">
        <f ca="1"/>
        <v>46324.554708333337</v>
      </c>
      <c r="AO19" t="str">
        <f ca="1"/>
        <v>Low</v>
      </c>
      <c r="AQ19" t="str">
        <f ca="1"/>
        <v>TRX0074</v>
      </c>
      <c r="AR19">
        <f ca="1"/>
        <v>45537</v>
      </c>
      <c r="AS19" t="str">
        <f ca="1"/>
        <v>CUST023</v>
      </c>
      <c r="AT19" t="str">
        <f ca="1"/>
        <v>Paul Baker</v>
      </c>
      <c r="AU19" t="str">
        <f ca="1"/>
        <v>P009</v>
      </c>
      <c r="AV19" t="str">
        <f ca="1"/>
        <v>Monitor</v>
      </c>
      <c r="AW19" t="str">
        <f ca="1"/>
        <v>Electronics</v>
      </c>
      <c r="AX19">
        <f ca="1"/>
        <v>1</v>
      </c>
      <c r="AY19">
        <f ca="1"/>
        <v>249.99</v>
      </c>
      <c r="AZ19" t="str">
        <f ca="1"/>
        <v>Debit Card</v>
      </c>
      <c r="BA19" t="str">
        <f ca="1"/>
        <v>North</v>
      </c>
      <c r="BB19" t="str">
        <f ca="1"/>
        <v>Premium</v>
      </c>
      <c r="BC19">
        <f ca="1"/>
        <v>45332</v>
      </c>
      <c r="BD19">
        <f ca="1"/>
        <v>249.99</v>
      </c>
      <c r="BE19">
        <f ca="1"/>
        <v>46324.554708333337</v>
      </c>
      <c r="BF19" t="str">
        <f ca="1"/>
        <v>Low</v>
      </c>
      <c r="BH19" t="str">
        <f ca="1"/>
        <v>TRX0004</v>
      </c>
      <c r="BI19">
        <f ca="1"/>
        <v>45424</v>
      </c>
      <c r="BJ19" t="str">
        <f ca="1"/>
        <v>CUST012</v>
      </c>
      <c r="BK19" t="str">
        <f ca="1"/>
        <v>Patricia Moore</v>
      </c>
      <c r="BL19" t="str">
        <f ca="1"/>
        <v>P010</v>
      </c>
      <c r="BM19" t="str">
        <f ca="1"/>
        <v>Keyboard</v>
      </c>
      <c r="BN19" t="str">
        <f ca="1"/>
        <v>Electronics</v>
      </c>
      <c r="BO19">
        <f ca="1"/>
        <v>5</v>
      </c>
      <c r="BP19">
        <f ca="1"/>
        <v>89.99</v>
      </c>
      <c r="BQ19" t="str">
        <f ca="1"/>
        <v>Cash</v>
      </c>
      <c r="BR19" t="str">
        <f ca="1"/>
        <v>North</v>
      </c>
      <c r="BS19" t="str">
        <f ca="1"/>
        <v>Premium</v>
      </c>
      <c r="BT19">
        <f ca="1"/>
        <v>44919</v>
      </c>
      <c r="BU19">
        <f ca="1"/>
        <v>449.95</v>
      </c>
      <c r="BV19">
        <f ca="1"/>
        <v>46324.554708333337</v>
      </c>
      <c r="BW19" t="str">
        <f ca="1"/>
        <v>Low</v>
      </c>
    </row>
    <row r="20" spans="1:75">
      <c r="A20" t="str">
        <f>'Raw Data'!D14</f>
        <v>Peter Richardson</v>
      </c>
      <c r="B20" s="1">
        <f>'Raw Data'!M14</f>
        <v>44806</v>
      </c>
      <c r="C20">
        <f t="shared" ca="1" si="0"/>
        <v>4</v>
      </c>
      <c r="D20">
        <f t="shared" ca="1" si="1"/>
        <v>49</v>
      </c>
      <c r="E20" s="1">
        <f t="shared" si="2"/>
        <v>44834</v>
      </c>
      <c r="I20" t="str">
        <f ca="1"/>
        <v>TRX0004</v>
      </c>
      <c r="J20">
        <f ca="1"/>
        <v>45424</v>
      </c>
      <c r="K20" t="str">
        <f ca="1"/>
        <v>CUST012</v>
      </c>
      <c r="L20" t="str">
        <f ca="1"/>
        <v>Patricia Moore</v>
      </c>
      <c r="M20" t="str">
        <f ca="1"/>
        <v>P010</v>
      </c>
      <c r="N20" t="str">
        <f ca="1"/>
        <v>Keyboard</v>
      </c>
      <c r="O20" t="str">
        <f ca="1"/>
        <v>Electronics</v>
      </c>
      <c r="P20">
        <f ca="1"/>
        <v>5</v>
      </c>
      <c r="Q20">
        <f ca="1"/>
        <v>89.99</v>
      </c>
      <c r="R20" t="str">
        <f ca="1"/>
        <v>Cash</v>
      </c>
      <c r="S20" t="str">
        <f ca="1"/>
        <v>North</v>
      </c>
      <c r="T20" t="str">
        <f ca="1"/>
        <v>Premium</v>
      </c>
      <c r="U20">
        <f ca="1"/>
        <v>44919</v>
      </c>
      <c r="V20">
        <f ca="1"/>
        <v>449.95</v>
      </c>
      <c r="W20">
        <f ca="1"/>
        <v>46324.554708333337</v>
      </c>
      <c r="X20" t="str">
        <f ca="1"/>
        <v>Low</v>
      </c>
      <c r="Z20" t="str">
        <f ca="1"/>
        <v>TRX0117</v>
      </c>
      <c r="AA20">
        <f ca="1"/>
        <v>45444</v>
      </c>
      <c r="AB20" t="str">
        <f ca="1"/>
        <v>CUST017</v>
      </c>
      <c r="AC20" t="str">
        <f ca="1"/>
        <v>Charles Allen</v>
      </c>
      <c r="AD20" t="str">
        <f ca="1"/>
        <v>P010</v>
      </c>
      <c r="AE20" t="str">
        <f ca="1"/>
        <v>Keyboard</v>
      </c>
      <c r="AF20" t="str">
        <f ca="1"/>
        <v>Electronics</v>
      </c>
      <c r="AG20">
        <f ca="1"/>
        <v>1</v>
      </c>
      <c r="AH20">
        <f ca="1"/>
        <v>89.99</v>
      </c>
      <c r="AI20" t="str">
        <f ca="1"/>
        <v>Cash</v>
      </c>
      <c r="AJ20" t="str">
        <f ca="1"/>
        <v>North</v>
      </c>
      <c r="AK20" t="str">
        <f ca="1"/>
        <v>Basic</v>
      </c>
      <c r="AL20">
        <f ca="1"/>
        <v>45141</v>
      </c>
      <c r="AM20">
        <f ca="1"/>
        <v>89.99</v>
      </c>
      <c r="AN20">
        <f ca="1"/>
        <v>46324.554708333337</v>
      </c>
      <c r="AO20" t="str">
        <f ca="1"/>
        <v>Low</v>
      </c>
      <c r="AQ20" t="str">
        <f ca="1"/>
        <v>TRX0005</v>
      </c>
      <c r="AR20">
        <f ca="1"/>
        <v>45550</v>
      </c>
      <c r="AS20" t="str">
        <f ca="1"/>
        <v>CUST042</v>
      </c>
      <c r="AT20" t="str">
        <f ca="1"/>
        <v>Ruth Brooks</v>
      </c>
      <c r="AU20" t="str">
        <f ca="1"/>
        <v>P003</v>
      </c>
      <c r="AV20" t="str">
        <f ca="1"/>
        <v>Headphones</v>
      </c>
      <c r="AW20" t="str">
        <f ca="1"/>
        <v>Electronics</v>
      </c>
      <c r="AX20">
        <f ca="1"/>
        <v>4</v>
      </c>
      <c r="AY20">
        <f ca="1"/>
        <v>149.99</v>
      </c>
      <c r="AZ20" t="str">
        <f ca="1"/>
        <v>Cash</v>
      </c>
      <c r="BA20" t="str">
        <f ca="1"/>
        <v>North</v>
      </c>
      <c r="BB20" t="str">
        <f ca="1"/>
        <v>Basic</v>
      </c>
      <c r="BC20">
        <f ca="1"/>
        <v>44909</v>
      </c>
      <c r="BD20">
        <f ca="1"/>
        <v>599.96</v>
      </c>
      <c r="BE20">
        <f ca="1"/>
        <v>46324.554708333337</v>
      </c>
      <c r="BF20" t="str">
        <f ca="1"/>
        <v>Medium</v>
      </c>
      <c r="BH20" t="str">
        <f ca="1"/>
        <v>TRX0029</v>
      </c>
      <c r="BI20">
        <f ca="1"/>
        <v>45427</v>
      </c>
      <c r="BJ20" t="str">
        <f ca="1"/>
        <v>CUST017</v>
      </c>
      <c r="BK20" t="str">
        <f ca="1"/>
        <v>Charles Allen</v>
      </c>
      <c r="BL20" t="str">
        <f ca="1"/>
        <v>P006</v>
      </c>
      <c r="BM20" t="str">
        <f ca="1"/>
        <v>Office Chair</v>
      </c>
      <c r="BN20" t="str">
        <f ca="1"/>
        <v>Furniture</v>
      </c>
      <c r="BO20">
        <f ca="1"/>
        <v>5</v>
      </c>
      <c r="BP20">
        <f ca="1"/>
        <v>199.99</v>
      </c>
      <c r="BQ20" t="str">
        <f ca="1"/>
        <v>Cash</v>
      </c>
      <c r="BR20" t="str">
        <f ca="1"/>
        <v>South</v>
      </c>
      <c r="BS20" t="str">
        <f ca="1"/>
        <v>Standard</v>
      </c>
      <c r="BT20">
        <f ca="1"/>
        <v>44412</v>
      </c>
      <c r="BU20">
        <f ca="1"/>
        <v>999.95</v>
      </c>
      <c r="BV20">
        <f ca="1"/>
        <v>46324.554708333337</v>
      </c>
      <c r="BW20" t="str">
        <f ca="1"/>
        <v>Medium</v>
      </c>
    </row>
    <row r="21" spans="1:75">
      <c r="A21" t="str">
        <f>'Raw Data'!D15</f>
        <v>Dennis Gray</v>
      </c>
      <c r="B21" s="1">
        <f>'Raw Data'!M15</f>
        <v>45351</v>
      </c>
      <c r="C21">
        <f t="shared" ca="1" si="0"/>
        <v>2</v>
      </c>
      <c r="D21">
        <f t="shared" ca="1" si="1"/>
        <v>32</v>
      </c>
      <c r="E21" s="1">
        <f t="shared" si="2"/>
        <v>45351</v>
      </c>
      <c r="I21" t="str">
        <f ca="1"/>
        <v>TRX0041</v>
      </c>
      <c r="J21">
        <f ca="1"/>
        <v>45432</v>
      </c>
      <c r="K21" t="str">
        <f ca="1"/>
        <v>CUST021</v>
      </c>
      <c r="L21" t="str">
        <f ca="1"/>
        <v>Kevin Scott</v>
      </c>
      <c r="M21" t="str">
        <f ca="1"/>
        <v>P001</v>
      </c>
      <c r="N21" t="str">
        <f ca="1"/>
        <v>Laptop</v>
      </c>
      <c r="O21" t="str">
        <f ca="1"/>
        <v>Electronics</v>
      </c>
      <c r="P21">
        <f ca="1"/>
        <v>1</v>
      </c>
      <c r="Q21">
        <f ca="1"/>
        <v>899.99</v>
      </c>
      <c r="R21" t="str">
        <f ca="1"/>
        <v>Credit Card</v>
      </c>
      <c r="S21" t="str">
        <f ca="1"/>
        <v>West</v>
      </c>
      <c r="T21" t="str">
        <f ca="1"/>
        <v>Premium</v>
      </c>
      <c r="U21">
        <f ca="1"/>
        <v>44578</v>
      </c>
      <c r="V21">
        <f ca="1"/>
        <v>899.99</v>
      </c>
      <c r="W21">
        <f ca="1"/>
        <v>46324.554708333337</v>
      </c>
      <c r="X21" t="str">
        <f ca="1"/>
        <v>Medium</v>
      </c>
      <c r="Z21" t="str">
        <f ca="1"/>
        <v>TRX0086</v>
      </c>
      <c r="AA21">
        <f ca="1"/>
        <v>45481</v>
      </c>
      <c r="AB21" t="str">
        <f ca="1"/>
        <v>CUST020</v>
      </c>
      <c r="AC21" t="str">
        <f ca="1"/>
        <v>Margaret Wright</v>
      </c>
      <c r="AD21" t="str">
        <f ca="1"/>
        <v>P008</v>
      </c>
      <c r="AE21" t="str">
        <f ca="1"/>
        <v>Bookshelf</v>
      </c>
      <c r="AF21" t="str">
        <f ca="1"/>
        <v>Furniture</v>
      </c>
      <c r="AG21">
        <f ca="1"/>
        <v>1</v>
      </c>
      <c r="AH21">
        <f ca="1"/>
        <v>149.99</v>
      </c>
      <c r="AI21" t="str">
        <f ca="1"/>
        <v>PayPal</v>
      </c>
      <c r="AJ21" t="str">
        <f ca="1"/>
        <v>North</v>
      </c>
      <c r="AK21" t="str">
        <f ca="1"/>
        <v>Basic</v>
      </c>
      <c r="AL21">
        <f ca="1"/>
        <v>44421</v>
      </c>
      <c r="AM21">
        <f ca="1"/>
        <v>149.99</v>
      </c>
      <c r="AN21">
        <f ca="1"/>
        <v>46324.554708333337</v>
      </c>
      <c r="AO21" t="str">
        <f ca="1"/>
        <v>Low</v>
      </c>
      <c r="AQ21" t="str">
        <f ca="1"/>
        <v>TRX0177</v>
      </c>
      <c r="AR21">
        <f ca="1"/>
        <v>45559</v>
      </c>
      <c r="AS21" t="str">
        <f ca="1"/>
        <v>CUST032</v>
      </c>
      <c r="AT21" t="str">
        <f ca="1"/>
        <v>Sandra Phillips</v>
      </c>
      <c r="AU21" t="str">
        <f ca="1"/>
        <v>P001</v>
      </c>
      <c r="AV21" t="str">
        <f ca="1"/>
        <v>Laptop</v>
      </c>
      <c r="AW21" t="str">
        <f ca="1"/>
        <v>Electronics</v>
      </c>
      <c r="AX21">
        <f ca="1"/>
        <v>3</v>
      </c>
      <c r="AY21">
        <f ca="1"/>
        <v>899.99</v>
      </c>
      <c r="AZ21" t="str">
        <f ca="1"/>
        <v>Credit Card</v>
      </c>
      <c r="BA21" t="str">
        <f ca="1"/>
        <v>North</v>
      </c>
      <c r="BB21" t="str">
        <f ca="1"/>
        <v>Standard</v>
      </c>
      <c r="BC21">
        <f ca="1"/>
        <v>45157</v>
      </c>
      <c r="BD21">
        <f ca="1"/>
        <v>2699.97</v>
      </c>
      <c r="BE21">
        <f ca="1"/>
        <v>46324.554708333337</v>
      </c>
      <c r="BF21" t="str">
        <f ca="1"/>
        <v>High</v>
      </c>
      <c r="BH21" t="str">
        <f ca="1"/>
        <v>TRX0021</v>
      </c>
      <c r="BI21">
        <f ca="1"/>
        <v>45435</v>
      </c>
      <c r="BJ21" t="str">
        <f ca="1"/>
        <v>CUST006</v>
      </c>
      <c r="BK21" t="str">
        <f ca="1"/>
        <v>Lisa Anderson</v>
      </c>
      <c r="BL21" t="str">
        <f ca="1"/>
        <v>P004</v>
      </c>
      <c r="BM21" t="str">
        <f ca="1"/>
        <v>Coffee Maker</v>
      </c>
      <c r="BN21" t="str">
        <f ca="1"/>
        <v>Appliances</v>
      </c>
      <c r="BO21">
        <f ca="1"/>
        <v>3</v>
      </c>
      <c r="BP21">
        <f ca="1"/>
        <v>79.989999999999995</v>
      </c>
      <c r="BQ21" t="str">
        <f ca="1"/>
        <v>Cash</v>
      </c>
      <c r="BR21" t="str">
        <f ca="1"/>
        <v>South</v>
      </c>
      <c r="BS21" t="str">
        <f ca="1"/>
        <v>Basic</v>
      </c>
      <c r="BT21">
        <f ca="1"/>
        <v>45046</v>
      </c>
      <c r="BU21">
        <f ca="1"/>
        <v>239.97</v>
      </c>
      <c r="BV21">
        <f ca="1"/>
        <v>46324.554708333337</v>
      </c>
      <c r="BW21" t="str">
        <f ca="1"/>
        <v>Low</v>
      </c>
    </row>
    <row r="22" spans="1:75">
      <c r="A22" t="str">
        <f>'Raw Data'!D16</f>
        <v>Michelle Rogers</v>
      </c>
      <c r="B22" s="1">
        <f>'Raw Data'!M16</f>
        <v>44577</v>
      </c>
      <c r="C22">
        <f t="shared" ca="1" si="0"/>
        <v>4</v>
      </c>
      <c r="D22">
        <f t="shared" ca="1" si="1"/>
        <v>57</v>
      </c>
      <c r="E22" s="1">
        <f t="shared" si="2"/>
        <v>44592</v>
      </c>
      <c r="I22" t="str">
        <f ca="1"/>
        <v>TRX0015</v>
      </c>
      <c r="J22">
        <f ca="1"/>
        <v>45440</v>
      </c>
      <c r="K22" t="str">
        <f ca="1"/>
        <v>CUST008</v>
      </c>
      <c r="L22" t="str">
        <f ca="1"/>
        <v>Jennifer Taylor</v>
      </c>
      <c r="M22" t="str">
        <f ca="1"/>
        <v>P002</v>
      </c>
      <c r="N22" t="str">
        <f ca="1"/>
        <v>Smartphone</v>
      </c>
      <c r="O22" t="str">
        <f ca="1"/>
        <v>Electronics</v>
      </c>
      <c r="P22">
        <f ca="1"/>
        <v>5</v>
      </c>
      <c r="Q22">
        <f ca="1"/>
        <v>699.99</v>
      </c>
      <c r="R22" t="str">
        <f ca="1"/>
        <v>PayPal</v>
      </c>
      <c r="S22" t="str">
        <f ca="1"/>
        <v>West</v>
      </c>
      <c r="T22" t="str">
        <f ca="1"/>
        <v>Standard</v>
      </c>
      <c r="U22">
        <f ca="1"/>
        <v>44407</v>
      </c>
      <c r="V22">
        <f ca="1"/>
        <v>3499.95</v>
      </c>
      <c r="W22">
        <f ca="1"/>
        <v>46324.554708333337</v>
      </c>
      <c r="X22" t="str">
        <f ca="1"/>
        <v>High</v>
      </c>
      <c r="Z22" t="str">
        <f ca="1"/>
        <v>TRX0114</v>
      </c>
      <c r="AA22">
        <f ca="1"/>
        <v>45481</v>
      </c>
      <c r="AB22" t="str">
        <f ca="1"/>
        <v>CUST018</v>
      </c>
      <c r="AC22" t="str">
        <f ca="1"/>
        <v>Barbara Young</v>
      </c>
      <c r="AD22" t="str">
        <f ca="1"/>
        <v>P010</v>
      </c>
      <c r="AE22" t="str">
        <f ca="1"/>
        <v>Keyboard</v>
      </c>
      <c r="AF22" t="str">
        <f ca="1"/>
        <v>Electronics</v>
      </c>
      <c r="AG22">
        <f ca="1"/>
        <v>5</v>
      </c>
      <c r="AH22">
        <f ca="1"/>
        <v>89.99</v>
      </c>
      <c r="AI22" t="str">
        <f ca="1"/>
        <v>Debit Card</v>
      </c>
      <c r="AJ22" t="str">
        <f ca="1"/>
        <v>North</v>
      </c>
      <c r="AK22" t="str">
        <f ca="1"/>
        <v>Premium</v>
      </c>
      <c r="AL22">
        <f ca="1"/>
        <v>45161</v>
      </c>
      <c r="AM22">
        <f ca="1"/>
        <v>449.95</v>
      </c>
      <c r="AN22">
        <f ca="1"/>
        <v>46324.554708333337</v>
      </c>
      <c r="AO22" t="str">
        <f ca="1"/>
        <v>Low</v>
      </c>
      <c r="AQ22" t="str">
        <f ca="1"/>
        <v>TRX0203</v>
      </c>
      <c r="AR22">
        <f ca="1"/>
        <v>45572</v>
      </c>
      <c r="AS22" t="str">
        <f ca="1"/>
        <v>CUST032</v>
      </c>
      <c r="AT22" t="str">
        <f ca="1"/>
        <v>Sandra Phillips</v>
      </c>
      <c r="AU22" t="str">
        <f ca="1"/>
        <v>P003</v>
      </c>
      <c r="AV22" t="str">
        <f ca="1"/>
        <v>Headphones</v>
      </c>
      <c r="AW22" t="str">
        <f ca="1"/>
        <v>Electronics</v>
      </c>
      <c r="AX22">
        <f ca="1"/>
        <v>4</v>
      </c>
      <c r="AY22">
        <f ca="1"/>
        <v>149.99</v>
      </c>
      <c r="AZ22" t="str">
        <f ca="1"/>
        <v>Credit Card</v>
      </c>
      <c r="BA22" t="str">
        <f ca="1"/>
        <v>North</v>
      </c>
      <c r="BB22" t="str">
        <f ca="1"/>
        <v>Premium</v>
      </c>
      <c r="BC22">
        <f ca="1"/>
        <v>45076</v>
      </c>
      <c r="BD22">
        <f ca="1"/>
        <v>599.96</v>
      </c>
      <c r="BE22">
        <f ca="1"/>
        <v>46324.554708333337</v>
      </c>
      <c r="BF22" t="str">
        <f ca="1"/>
        <v>Medium</v>
      </c>
      <c r="BH22" t="str">
        <f ca="1"/>
        <v>TRX0245</v>
      </c>
      <c r="BI22">
        <f ca="1"/>
        <v>45438</v>
      </c>
      <c r="BJ22" t="str">
        <f ca="1"/>
        <v>CUST031</v>
      </c>
      <c r="BK22" t="str">
        <f ca="1"/>
        <v>Steven Turner</v>
      </c>
      <c r="BL22" t="str">
        <f ca="1"/>
        <v>P006</v>
      </c>
      <c r="BM22" t="str">
        <f ca="1"/>
        <v>Office Chair</v>
      </c>
      <c r="BN22" t="str">
        <f ca="1"/>
        <v>Furniture</v>
      </c>
      <c r="BO22">
        <f ca="1"/>
        <v>3</v>
      </c>
      <c r="BP22">
        <f ca="1"/>
        <v>199.99</v>
      </c>
      <c r="BQ22" t="str">
        <f ca="1"/>
        <v>Credit Card</v>
      </c>
      <c r="BR22" t="str">
        <f ca="1"/>
        <v>North</v>
      </c>
      <c r="BS22" t="str">
        <f ca="1"/>
        <v>Premium</v>
      </c>
      <c r="BT22">
        <f ca="1"/>
        <v>45292</v>
      </c>
      <c r="BU22">
        <f ca="1"/>
        <v>599.97</v>
      </c>
      <c r="BV22">
        <f ca="1"/>
        <v>46324.554708333337</v>
      </c>
      <c r="BW22" t="str">
        <f ca="1"/>
        <v>Medium</v>
      </c>
    </row>
    <row r="23" spans="1:75">
      <c r="A23" t="str">
        <f>'Raw Data'!D17</f>
        <v>George Adams</v>
      </c>
      <c r="B23" s="1">
        <f>'Raw Data'!M17</f>
        <v>44920</v>
      </c>
      <c r="C23">
        <f t="shared" ca="1" si="0"/>
        <v>3</v>
      </c>
      <c r="D23">
        <f t="shared" ca="1" si="1"/>
        <v>46</v>
      </c>
      <c r="E23" s="1">
        <f t="shared" si="2"/>
        <v>44926</v>
      </c>
      <c r="I23" t="str">
        <f ca="1"/>
        <v>TRX0202</v>
      </c>
      <c r="J23">
        <f ca="1"/>
        <v>45441</v>
      </c>
      <c r="K23" t="str">
        <f ca="1"/>
        <v>CUST035</v>
      </c>
      <c r="L23" t="str">
        <f ca="1"/>
        <v>Harry Morgan</v>
      </c>
      <c r="M23" t="str">
        <f ca="1"/>
        <v>P010</v>
      </c>
      <c r="N23" t="str">
        <f ca="1"/>
        <v>Keyboard</v>
      </c>
      <c r="O23" t="str">
        <f ca="1"/>
        <v>Electronics</v>
      </c>
      <c r="P23">
        <f ca="1"/>
        <v>3</v>
      </c>
      <c r="Q23">
        <f ca="1"/>
        <v>89.99</v>
      </c>
      <c r="R23" t="str">
        <f ca="1"/>
        <v>PayPal</v>
      </c>
      <c r="S23" t="str">
        <f ca="1"/>
        <v>Central</v>
      </c>
      <c r="T23" t="str">
        <f ca="1"/>
        <v>Premium</v>
      </c>
      <c r="U23">
        <f ca="1"/>
        <v>45120</v>
      </c>
      <c r="V23">
        <f ca="1"/>
        <v>269.97000000000003</v>
      </c>
      <c r="W23">
        <f ca="1"/>
        <v>46324.554708333337</v>
      </c>
      <c r="X23" t="str">
        <f ca="1"/>
        <v>Low</v>
      </c>
      <c r="Z23" t="str">
        <f ca="1"/>
        <v>TRX0141</v>
      </c>
      <c r="AA23">
        <f ca="1"/>
        <v>45484</v>
      </c>
      <c r="AB23" t="str">
        <f ca="1"/>
        <v>CUST033</v>
      </c>
      <c r="AC23" t="str">
        <f ca="1"/>
        <v>Frank Torres</v>
      </c>
      <c r="AD23" t="str">
        <f ca="1"/>
        <v>P007</v>
      </c>
      <c r="AE23" t="str">
        <f ca="1"/>
        <v>Desk</v>
      </c>
      <c r="AF23" t="str">
        <f ca="1"/>
        <v>Furniture</v>
      </c>
      <c r="AG23">
        <f ca="1"/>
        <v>1</v>
      </c>
      <c r="AH23">
        <f ca="1"/>
        <v>299.99</v>
      </c>
      <c r="AI23" t="str">
        <f ca="1"/>
        <v>Credit Card</v>
      </c>
      <c r="AJ23" t="str">
        <f ca="1"/>
        <v>North</v>
      </c>
      <c r="AK23" t="str">
        <f ca="1"/>
        <v>Premium</v>
      </c>
      <c r="AL23">
        <f ca="1"/>
        <v>44891</v>
      </c>
      <c r="AM23">
        <f ca="1"/>
        <v>299.99</v>
      </c>
      <c r="AN23">
        <f ca="1"/>
        <v>46324.554708333337</v>
      </c>
      <c r="AO23" t="str">
        <f ca="1"/>
        <v>Low</v>
      </c>
      <c r="AQ23" t="str">
        <f ca="1"/>
        <v>TRX0167</v>
      </c>
      <c r="AR23">
        <f ca="1"/>
        <v>45589</v>
      </c>
      <c r="AS23" t="str">
        <f ca="1"/>
        <v>CUST028</v>
      </c>
      <c r="AT23" t="str">
        <f ca="1"/>
        <v>Betty Campbell</v>
      </c>
      <c r="AU23" t="str">
        <f ca="1"/>
        <v>P002</v>
      </c>
      <c r="AV23" t="str">
        <f ca="1"/>
        <v>Smartphone</v>
      </c>
      <c r="AW23" t="str">
        <f ca="1"/>
        <v>Electronics</v>
      </c>
      <c r="AX23">
        <f ca="1"/>
        <v>5</v>
      </c>
      <c r="AY23">
        <f ca="1"/>
        <v>699.99</v>
      </c>
      <c r="AZ23" t="str">
        <f ca="1"/>
        <v>Cash</v>
      </c>
      <c r="BA23" t="str">
        <f ca="1"/>
        <v>North</v>
      </c>
      <c r="BB23" t="str">
        <f ca="1"/>
        <v>Premium</v>
      </c>
      <c r="BC23">
        <f ca="1"/>
        <v>44635</v>
      </c>
      <c r="BD23">
        <f ca="1"/>
        <v>3499.95</v>
      </c>
      <c r="BE23">
        <f ca="1"/>
        <v>46324.554708333337</v>
      </c>
      <c r="BF23" t="str">
        <f ca="1"/>
        <v>High</v>
      </c>
      <c r="BH23" t="str">
        <f ca="1"/>
        <v>TRX0042</v>
      </c>
      <c r="BI23">
        <f ca="1"/>
        <v>45443</v>
      </c>
      <c r="BJ23" t="str">
        <f ca="1"/>
        <v>CUST019</v>
      </c>
      <c r="BK23" t="str">
        <f ca="1"/>
        <v>Daniel King</v>
      </c>
      <c r="BL23" t="str">
        <f ca="1"/>
        <v>P004</v>
      </c>
      <c r="BM23" t="str">
        <f ca="1"/>
        <v>Coffee Maker</v>
      </c>
      <c r="BN23" t="str">
        <f ca="1"/>
        <v>Appliances</v>
      </c>
      <c r="BO23">
        <f ca="1"/>
        <v>1</v>
      </c>
      <c r="BP23">
        <f ca="1"/>
        <v>79.989999999999995</v>
      </c>
      <c r="BQ23" t="str">
        <f ca="1"/>
        <v>Cash</v>
      </c>
      <c r="BR23" t="str">
        <f ca="1"/>
        <v>North</v>
      </c>
      <c r="BS23" t="str">
        <f ca="1"/>
        <v>Standard</v>
      </c>
      <c r="BT23">
        <f ca="1"/>
        <v>44917</v>
      </c>
      <c r="BU23">
        <f ca="1"/>
        <v>79.989999999999995</v>
      </c>
      <c r="BV23">
        <f ca="1"/>
        <v>46324.554708333337</v>
      </c>
      <c r="BW23" t="str">
        <f ca="1"/>
        <v>Low</v>
      </c>
    </row>
    <row r="24" spans="1:75">
      <c r="A24" t="str">
        <f>'Raw Data'!D18</f>
        <v>Mark Carter</v>
      </c>
      <c r="B24" s="1">
        <f>'Raw Data'!M18</f>
        <v>45374</v>
      </c>
      <c r="C24">
        <f t="shared" ca="1" si="0"/>
        <v>2</v>
      </c>
      <c r="D24">
        <f t="shared" ca="1" si="1"/>
        <v>31</v>
      </c>
      <c r="E24" s="1">
        <f t="shared" si="2"/>
        <v>45382</v>
      </c>
      <c r="I24" t="str">
        <f ca="1"/>
        <v>TRX0117</v>
      </c>
      <c r="J24">
        <f ca="1"/>
        <v>45444</v>
      </c>
      <c r="K24" t="str">
        <f ca="1"/>
        <v>CUST017</v>
      </c>
      <c r="L24" t="str">
        <f ca="1"/>
        <v>Charles Allen</v>
      </c>
      <c r="M24" t="str">
        <f ca="1"/>
        <v>P010</v>
      </c>
      <c r="N24" t="str">
        <f ca="1"/>
        <v>Keyboard</v>
      </c>
      <c r="O24" t="str">
        <f ca="1"/>
        <v>Electronics</v>
      </c>
      <c r="P24">
        <f ca="1"/>
        <v>1</v>
      </c>
      <c r="Q24">
        <f ca="1"/>
        <v>89.99</v>
      </c>
      <c r="R24" t="str">
        <f ca="1"/>
        <v>Cash</v>
      </c>
      <c r="S24" t="str">
        <f ca="1"/>
        <v>North</v>
      </c>
      <c r="T24" t="str">
        <f ca="1"/>
        <v>Basic</v>
      </c>
      <c r="U24">
        <f ca="1"/>
        <v>45141</v>
      </c>
      <c r="V24">
        <f ca="1"/>
        <v>89.99</v>
      </c>
      <c r="W24">
        <f ca="1"/>
        <v>46324.554708333337</v>
      </c>
      <c r="X24" t="str">
        <f ca="1"/>
        <v>Low</v>
      </c>
      <c r="Z24" t="str">
        <f ca="1"/>
        <v>TRX0097</v>
      </c>
      <c r="AA24">
        <f ca="1"/>
        <v>45487</v>
      </c>
      <c r="AB24" t="str">
        <f ca="1"/>
        <v>CUST033</v>
      </c>
      <c r="AC24" t="str">
        <f ca="1"/>
        <v>Frank Torres</v>
      </c>
      <c r="AD24" t="str">
        <f ca="1"/>
        <v>P006</v>
      </c>
      <c r="AE24" t="str">
        <f ca="1"/>
        <v>Office Chair</v>
      </c>
      <c r="AF24" t="str">
        <f ca="1"/>
        <v>Furniture</v>
      </c>
      <c r="AG24">
        <f ca="1"/>
        <v>2</v>
      </c>
      <c r="AH24">
        <f ca="1"/>
        <v>199.99</v>
      </c>
      <c r="AI24" t="str">
        <f ca="1"/>
        <v>Cash</v>
      </c>
      <c r="AJ24" t="str">
        <f ca="1"/>
        <v>North</v>
      </c>
      <c r="AK24" t="str">
        <f ca="1"/>
        <v>Basic</v>
      </c>
      <c r="AL24">
        <f ca="1"/>
        <v>44541</v>
      </c>
      <c r="AM24">
        <f ca="1"/>
        <v>399.98</v>
      </c>
      <c r="AN24">
        <f ca="1"/>
        <v>46324.554708333337</v>
      </c>
      <c r="AO24" t="str">
        <f ca="1"/>
        <v>Low</v>
      </c>
      <c r="AQ24" t="str">
        <f ca="1"/>
        <v>TRX0153</v>
      </c>
      <c r="AR24">
        <f ca="1"/>
        <v>45592</v>
      </c>
      <c r="AS24" t="str">
        <f ca="1"/>
        <v>CUST049</v>
      </c>
      <c r="AT24" t="str">
        <f ca="1"/>
        <v>Raymond Ross</v>
      </c>
      <c r="AU24" t="str">
        <f ca="1"/>
        <v>P010</v>
      </c>
      <c r="AV24" t="str">
        <f ca="1"/>
        <v>Keyboard</v>
      </c>
      <c r="AW24" t="str">
        <f ca="1"/>
        <v>Electronics</v>
      </c>
      <c r="AX24">
        <f ca="1"/>
        <v>3</v>
      </c>
      <c r="AY24">
        <f ca="1"/>
        <v>89.99</v>
      </c>
      <c r="AZ24" t="str">
        <f ca="1"/>
        <v>Credit Card</v>
      </c>
      <c r="BA24" t="str">
        <f ca="1"/>
        <v>North</v>
      </c>
      <c r="BB24" t="str">
        <f ca="1"/>
        <v>Standard</v>
      </c>
      <c r="BC24">
        <f ca="1"/>
        <v>44615</v>
      </c>
      <c r="BD24">
        <f ca="1"/>
        <v>269.97000000000003</v>
      </c>
      <c r="BE24">
        <f ca="1"/>
        <v>46324.554708333337</v>
      </c>
      <c r="BF24" t="str">
        <f ca="1"/>
        <v>Low</v>
      </c>
      <c r="BH24" t="str">
        <f ca="1"/>
        <v>TRX0117</v>
      </c>
      <c r="BI24">
        <f ca="1"/>
        <v>45444</v>
      </c>
      <c r="BJ24" t="str">
        <f ca="1"/>
        <v>CUST017</v>
      </c>
      <c r="BK24" t="str">
        <f ca="1"/>
        <v>Charles Allen</v>
      </c>
      <c r="BL24" t="str">
        <f ca="1"/>
        <v>P010</v>
      </c>
      <c r="BM24" t="str">
        <f ca="1"/>
        <v>Keyboard</v>
      </c>
      <c r="BN24" t="str">
        <f ca="1"/>
        <v>Electronics</v>
      </c>
      <c r="BO24">
        <f ca="1"/>
        <v>1</v>
      </c>
      <c r="BP24">
        <f ca="1"/>
        <v>89.99</v>
      </c>
      <c r="BQ24" t="str">
        <f ca="1"/>
        <v>Cash</v>
      </c>
      <c r="BR24" t="str">
        <f ca="1"/>
        <v>North</v>
      </c>
      <c r="BS24" t="str">
        <f ca="1"/>
        <v>Basic</v>
      </c>
      <c r="BT24">
        <f ca="1"/>
        <v>45141</v>
      </c>
      <c r="BU24">
        <f ca="1"/>
        <v>89.99</v>
      </c>
      <c r="BV24">
        <f ca="1"/>
        <v>46324.554708333337</v>
      </c>
      <c r="BW24" t="str">
        <f ca="1"/>
        <v>Low</v>
      </c>
    </row>
    <row r="25" spans="1:75">
      <c r="A25" t="str">
        <f>'Raw Data'!D19</f>
        <v>Maria Garcia</v>
      </c>
      <c r="B25" s="1">
        <f>'Raw Data'!M19</f>
        <v>44781</v>
      </c>
      <c r="C25">
        <f t="shared" ca="1" si="0"/>
        <v>4</v>
      </c>
      <c r="D25">
        <f t="shared" ca="1" si="1"/>
        <v>50</v>
      </c>
      <c r="E25" s="1">
        <f t="shared" si="2"/>
        <v>44804</v>
      </c>
      <c r="I25" t="str">
        <f ca="1"/>
        <v>TRX0208</v>
      </c>
      <c r="J25">
        <f ca="1"/>
        <v>45446</v>
      </c>
      <c r="K25" t="str">
        <f ca="1"/>
        <v>CUST004</v>
      </c>
      <c r="L25" t="str">
        <f ca="1"/>
        <v>Sarah Davis</v>
      </c>
      <c r="M25" t="str">
        <f ca="1"/>
        <v>P010</v>
      </c>
      <c r="N25" t="str">
        <f ca="1"/>
        <v>Keyboard</v>
      </c>
      <c r="O25" t="str">
        <f ca="1"/>
        <v>Electronics</v>
      </c>
      <c r="P25">
        <f ca="1"/>
        <v>5</v>
      </c>
      <c r="Q25">
        <f ca="1"/>
        <v>89.99</v>
      </c>
      <c r="R25" t="str">
        <f ca="1"/>
        <v>Credit Card</v>
      </c>
      <c r="S25" t="str">
        <f ca="1"/>
        <v>East</v>
      </c>
      <c r="T25" t="str">
        <f ca="1"/>
        <v>Standard</v>
      </c>
      <c r="U25">
        <f ca="1"/>
        <v>44587</v>
      </c>
      <c r="V25">
        <f ca="1"/>
        <v>449.95</v>
      </c>
      <c r="W25">
        <f ca="1"/>
        <v>46324.554708333337</v>
      </c>
      <c r="X25" t="str">
        <f ca="1"/>
        <v>Low</v>
      </c>
      <c r="Z25" t="str">
        <f ca="1"/>
        <v>TRX0131</v>
      </c>
      <c r="AA25">
        <f ca="1"/>
        <v>45491</v>
      </c>
      <c r="AB25" t="str">
        <f ca="1"/>
        <v>CUST026</v>
      </c>
      <c r="AC25" t="str">
        <f ca="1"/>
        <v>Karen Hill</v>
      </c>
      <c r="AD25" t="str">
        <f ca="1"/>
        <v>P006</v>
      </c>
      <c r="AE25" t="str">
        <f ca="1"/>
        <v>Office Chair</v>
      </c>
      <c r="AF25" t="str">
        <f ca="1"/>
        <v>Furniture</v>
      </c>
      <c r="AG25">
        <f ca="1"/>
        <v>3</v>
      </c>
      <c r="AH25">
        <f ca="1"/>
        <v>199.99</v>
      </c>
      <c r="AI25" t="str">
        <f ca="1"/>
        <v>Cash</v>
      </c>
      <c r="AJ25" t="str">
        <f ca="1"/>
        <v>North</v>
      </c>
      <c r="AK25" t="str">
        <f ca="1"/>
        <v>Premium</v>
      </c>
      <c r="AL25">
        <f ca="1"/>
        <v>45254</v>
      </c>
      <c r="AM25">
        <f ca="1"/>
        <v>599.97</v>
      </c>
      <c r="AN25">
        <f ca="1"/>
        <v>46324.554708333337</v>
      </c>
      <c r="AO25" t="str">
        <f ca="1"/>
        <v>Medium</v>
      </c>
      <c r="AQ25" t="str">
        <f ca="1"/>
        <v>TRX0060</v>
      </c>
      <c r="AR25">
        <f ca="1"/>
        <v>45603</v>
      </c>
      <c r="AS25" t="str">
        <f ca="1"/>
        <v>CUST012</v>
      </c>
      <c r="AT25" t="str">
        <f ca="1"/>
        <v>Patricia Moore</v>
      </c>
      <c r="AU25" t="str">
        <f ca="1"/>
        <v>P010</v>
      </c>
      <c r="AV25" t="str">
        <f ca="1"/>
        <v>Keyboard</v>
      </c>
      <c r="AW25" t="str">
        <f ca="1"/>
        <v>Electronics</v>
      </c>
      <c r="AX25">
        <f ca="1"/>
        <v>3</v>
      </c>
      <c r="AY25">
        <f ca="1"/>
        <v>89.99</v>
      </c>
      <c r="AZ25" t="str">
        <f ca="1"/>
        <v>Credit Card</v>
      </c>
      <c r="BA25" t="str">
        <f ca="1"/>
        <v>North</v>
      </c>
      <c r="BB25" t="str">
        <f ca="1"/>
        <v>Premium</v>
      </c>
      <c r="BC25">
        <f ca="1"/>
        <v>44420</v>
      </c>
      <c r="BD25">
        <f ca="1"/>
        <v>269.97000000000003</v>
      </c>
      <c r="BE25">
        <f ca="1"/>
        <v>46324.554708333337</v>
      </c>
      <c r="BF25" t="str">
        <f ca="1"/>
        <v>Low</v>
      </c>
      <c r="BH25" t="str">
        <f ca="1"/>
        <v>TRX0121</v>
      </c>
      <c r="BI25">
        <f ca="1"/>
        <v>45449</v>
      </c>
      <c r="BJ25" t="str">
        <f ca="1"/>
        <v>CUST028</v>
      </c>
      <c r="BK25" t="str">
        <f ca="1"/>
        <v>Betty Campbell</v>
      </c>
      <c r="BL25" t="str">
        <f ca="1"/>
        <v>P010</v>
      </c>
      <c r="BM25" t="str">
        <f ca="1"/>
        <v>Keyboard</v>
      </c>
      <c r="BN25" t="str">
        <f ca="1"/>
        <v>Electronics</v>
      </c>
      <c r="BO25">
        <f ca="1"/>
        <v>1</v>
      </c>
      <c r="BP25">
        <f ca="1"/>
        <v>89.99</v>
      </c>
      <c r="BQ25" t="str">
        <f ca="1"/>
        <v>Credit Card</v>
      </c>
      <c r="BR25" t="str">
        <f ca="1"/>
        <v>South</v>
      </c>
      <c r="BS25" t="str">
        <f ca="1"/>
        <v>Standard</v>
      </c>
      <c r="BT25">
        <f ca="1"/>
        <v>44582</v>
      </c>
      <c r="BU25">
        <f ca="1"/>
        <v>89.99</v>
      </c>
      <c r="BV25">
        <f ca="1"/>
        <v>46324.554708333337</v>
      </c>
      <c r="BW25" t="str">
        <f ca="1"/>
        <v>Low</v>
      </c>
    </row>
    <row r="26" spans="1:75">
      <c r="A26" t="str">
        <f>'Raw Data'!D20</f>
        <v>Mark Carter</v>
      </c>
      <c r="B26" s="1">
        <f>'Raw Data'!M20</f>
        <v>45327</v>
      </c>
      <c r="C26">
        <f t="shared" ca="1" si="0"/>
        <v>2</v>
      </c>
      <c r="D26">
        <f t="shared" ca="1" si="1"/>
        <v>32</v>
      </c>
      <c r="E26" s="1">
        <f t="shared" si="2"/>
        <v>45351</v>
      </c>
      <c r="I26" t="str">
        <f ca="1"/>
        <v>TRX0234</v>
      </c>
      <c r="J26">
        <f ca="1"/>
        <v>45449</v>
      </c>
      <c r="K26" t="str">
        <f ca="1"/>
        <v>CUST013</v>
      </c>
      <c r="L26" t="str">
        <f ca="1"/>
        <v>Joseph Jackson</v>
      </c>
      <c r="M26" t="str">
        <f ca="1"/>
        <v>P009</v>
      </c>
      <c r="N26" t="str">
        <f ca="1"/>
        <v>Monitor</v>
      </c>
      <c r="O26" t="str">
        <f ca="1"/>
        <v>Electronics</v>
      </c>
      <c r="P26">
        <f ca="1"/>
        <v>5</v>
      </c>
      <c r="Q26">
        <f ca="1"/>
        <v>249.99</v>
      </c>
      <c r="R26" t="str">
        <f ca="1"/>
        <v>Credit Card</v>
      </c>
      <c r="S26" t="str">
        <f ca="1"/>
        <v>East</v>
      </c>
      <c r="T26" t="str">
        <f ca="1"/>
        <v>Standard</v>
      </c>
      <c r="U26">
        <f ca="1"/>
        <v>44707</v>
      </c>
      <c r="V26">
        <f ca="1"/>
        <v>1249.95</v>
      </c>
      <c r="W26">
        <f ca="1"/>
        <v>46324.554708333337</v>
      </c>
      <c r="X26" t="str">
        <f ca="1"/>
        <v>High</v>
      </c>
      <c r="Z26" t="str">
        <f ca="1"/>
        <v>TRX0006</v>
      </c>
      <c r="AA26">
        <f ca="1"/>
        <v>45498</v>
      </c>
      <c r="AB26" t="str">
        <f ca="1"/>
        <v>CUST007</v>
      </c>
      <c r="AC26" t="str">
        <f ca="1"/>
        <v>David Martinez</v>
      </c>
      <c r="AD26" t="str">
        <f ca="1"/>
        <v>P005</v>
      </c>
      <c r="AE26" t="str">
        <f ca="1"/>
        <v>Blender</v>
      </c>
      <c r="AF26" t="str">
        <f ca="1"/>
        <v>Appliances</v>
      </c>
      <c r="AG26">
        <f ca="1"/>
        <v>2</v>
      </c>
      <c r="AH26">
        <f ca="1"/>
        <v>59.99</v>
      </c>
      <c r="AI26" t="str">
        <f ca="1"/>
        <v>Cash</v>
      </c>
      <c r="AJ26" t="str">
        <f ca="1"/>
        <v>North</v>
      </c>
      <c r="AK26" t="str">
        <f ca="1"/>
        <v>Standard</v>
      </c>
      <c r="AL26">
        <f ca="1"/>
        <v>45152</v>
      </c>
      <c r="AM26">
        <f ca="1"/>
        <v>119.98</v>
      </c>
      <c r="AN26">
        <f ca="1"/>
        <v>46324.554708333337</v>
      </c>
      <c r="AO26" t="str">
        <f ca="1"/>
        <v>Low</v>
      </c>
      <c r="AQ26" t="str">
        <f ca="1"/>
        <v>TRX0090</v>
      </c>
      <c r="AR26">
        <f ca="1"/>
        <v>45605</v>
      </c>
      <c r="AS26" t="str">
        <f ca="1"/>
        <v>CUST020</v>
      </c>
      <c r="AT26" t="str">
        <f ca="1"/>
        <v>Margaret Wright</v>
      </c>
      <c r="AU26" t="str">
        <f ca="1"/>
        <v>P009</v>
      </c>
      <c r="AV26" t="str">
        <f ca="1"/>
        <v>Monitor</v>
      </c>
      <c r="AW26" t="str">
        <f ca="1"/>
        <v>Electronics</v>
      </c>
      <c r="AX26">
        <f ca="1"/>
        <v>1</v>
      </c>
      <c r="AY26">
        <f ca="1"/>
        <v>249.99</v>
      </c>
      <c r="AZ26" t="str">
        <f ca="1"/>
        <v>Credit Card</v>
      </c>
      <c r="BA26" t="str">
        <f ca="1"/>
        <v>North</v>
      </c>
      <c r="BB26" t="str">
        <f ca="1"/>
        <v>Premium</v>
      </c>
      <c r="BC26">
        <f ca="1"/>
        <v>44828</v>
      </c>
      <c r="BD26">
        <f ca="1"/>
        <v>249.99</v>
      </c>
      <c r="BE26">
        <f ca="1"/>
        <v>46324.554708333337</v>
      </c>
      <c r="BF26" t="str">
        <f ca="1"/>
        <v>Low</v>
      </c>
      <c r="BH26" t="str">
        <f ca="1"/>
        <v>TRX0115</v>
      </c>
      <c r="BI26">
        <f ca="1"/>
        <v>45459</v>
      </c>
      <c r="BJ26" t="str">
        <f ca="1"/>
        <v>CUST012</v>
      </c>
      <c r="BK26" t="str">
        <f ca="1"/>
        <v>Patricia Moore</v>
      </c>
      <c r="BL26" t="str">
        <f ca="1"/>
        <v>P010</v>
      </c>
      <c r="BM26" t="str">
        <f ca="1"/>
        <v>Keyboard</v>
      </c>
      <c r="BN26" t="str">
        <f ca="1"/>
        <v>Electronics</v>
      </c>
      <c r="BO26">
        <f ca="1"/>
        <v>2</v>
      </c>
      <c r="BP26">
        <f ca="1"/>
        <v>89.99</v>
      </c>
      <c r="BQ26" t="str">
        <f ca="1"/>
        <v>Credit Card</v>
      </c>
      <c r="BR26" t="str">
        <f ca="1"/>
        <v>South</v>
      </c>
      <c r="BS26" t="str">
        <f ca="1"/>
        <v>Premium</v>
      </c>
      <c r="BT26">
        <f ca="1"/>
        <v>44471</v>
      </c>
      <c r="BU26">
        <f ca="1"/>
        <v>179.98</v>
      </c>
      <c r="BV26">
        <f ca="1"/>
        <v>46324.554708333337</v>
      </c>
      <c r="BW26" t="str">
        <f ca="1"/>
        <v>Low</v>
      </c>
    </row>
    <row r="27" spans="1:75">
      <c r="A27" t="str">
        <f>'Raw Data'!D21</f>
        <v>Virginia Sanders</v>
      </c>
      <c r="B27" s="1">
        <f>'Raw Data'!M21</f>
        <v>45224</v>
      </c>
      <c r="C27">
        <f t="shared" ca="1" si="0"/>
        <v>3</v>
      </c>
      <c r="D27">
        <f t="shared" ca="1" si="1"/>
        <v>36</v>
      </c>
      <c r="E27" s="1">
        <f t="shared" si="2"/>
        <v>45230</v>
      </c>
      <c r="I27" t="str">
        <f ca="1"/>
        <v>TRX0121</v>
      </c>
      <c r="J27">
        <f ca="1"/>
        <v>45449</v>
      </c>
      <c r="K27" t="str">
        <f ca="1"/>
        <v>CUST028</v>
      </c>
      <c r="L27" t="str">
        <f ca="1"/>
        <v>Betty Campbell</v>
      </c>
      <c r="M27" t="str">
        <f ca="1"/>
        <v>P010</v>
      </c>
      <c r="N27" t="str">
        <f ca="1"/>
        <v>Keyboard</v>
      </c>
      <c r="O27" t="str">
        <f ca="1"/>
        <v>Electronics</v>
      </c>
      <c r="P27">
        <f ca="1"/>
        <v>1</v>
      </c>
      <c r="Q27">
        <f ca="1"/>
        <v>89.99</v>
      </c>
      <c r="R27" t="str">
        <f ca="1"/>
        <v>Credit Card</v>
      </c>
      <c r="S27" t="str">
        <f ca="1"/>
        <v>South</v>
      </c>
      <c r="T27" t="str">
        <f ca="1"/>
        <v>Standard</v>
      </c>
      <c r="U27">
        <f ca="1"/>
        <v>44582</v>
      </c>
      <c r="V27">
        <f ca="1"/>
        <v>89.99</v>
      </c>
      <c r="W27">
        <f ca="1"/>
        <v>46324.554708333337</v>
      </c>
      <c r="X27" t="str">
        <f ca="1"/>
        <v>Low</v>
      </c>
      <c r="Z27" t="str">
        <f ca="1"/>
        <v>TRX0080</v>
      </c>
      <c r="AA27">
        <f ca="1"/>
        <v>45500</v>
      </c>
      <c r="AB27" t="str">
        <f ca="1"/>
        <v>CUST018</v>
      </c>
      <c r="AC27" t="str">
        <f ca="1"/>
        <v>Barbara Young</v>
      </c>
      <c r="AD27" t="str">
        <f ca="1"/>
        <v>P009</v>
      </c>
      <c r="AE27" t="str">
        <f ca="1"/>
        <v>Monitor</v>
      </c>
      <c r="AF27" t="str">
        <f ca="1"/>
        <v>Electronics</v>
      </c>
      <c r="AG27">
        <f ca="1"/>
        <v>2</v>
      </c>
      <c r="AH27">
        <f ca="1"/>
        <v>249.99</v>
      </c>
      <c r="AI27" t="str">
        <f ca="1"/>
        <v>Cash</v>
      </c>
      <c r="AJ27" t="str">
        <f ca="1"/>
        <v>North</v>
      </c>
      <c r="AK27" t="str">
        <f ca="1"/>
        <v>Premium</v>
      </c>
      <c r="AL27">
        <f ca="1"/>
        <v>45164</v>
      </c>
      <c r="AM27">
        <f ca="1"/>
        <v>499.98</v>
      </c>
      <c r="AN27">
        <f ca="1"/>
        <v>46324.554708333337</v>
      </c>
      <c r="AO27" t="str">
        <f ca="1"/>
        <v>Low</v>
      </c>
      <c r="AQ27" t="str">
        <f ca="1"/>
        <v>TRX0035</v>
      </c>
      <c r="AR27">
        <f ca="1"/>
        <v>45607</v>
      </c>
      <c r="AS27" t="str">
        <f ca="1"/>
        <v>CUST041</v>
      </c>
      <c r="AT27" t="str">
        <f ca="1"/>
        <v>Peter Richardson</v>
      </c>
      <c r="AU27" t="str">
        <f ca="1"/>
        <v>P003</v>
      </c>
      <c r="AV27" t="str">
        <f ca="1"/>
        <v>Headphones</v>
      </c>
      <c r="AW27" t="str">
        <f ca="1"/>
        <v>Electronics</v>
      </c>
      <c r="AX27">
        <f ca="1"/>
        <v>3</v>
      </c>
      <c r="AY27">
        <f ca="1"/>
        <v>149.99</v>
      </c>
      <c r="AZ27" t="str">
        <f ca="1"/>
        <v>Cash</v>
      </c>
      <c r="BA27" t="str">
        <f ca="1"/>
        <v>North</v>
      </c>
      <c r="BB27" t="str">
        <f ca="1"/>
        <v>Basic</v>
      </c>
      <c r="BC27">
        <f ca="1"/>
        <v>44769</v>
      </c>
      <c r="BD27">
        <f ca="1"/>
        <v>449.97</v>
      </c>
      <c r="BE27">
        <f ca="1"/>
        <v>46324.554708333337</v>
      </c>
      <c r="BF27" t="str">
        <f ca="1"/>
        <v>Low</v>
      </c>
      <c r="BH27" t="str">
        <f ca="1"/>
        <v>TRX0154</v>
      </c>
      <c r="BI27">
        <f ca="1"/>
        <v>45459</v>
      </c>
      <c r="BJ27" t="str">
        <f ca="1"/>
        <v>CUST023</v>
      </c>
      <c r="BK27" t="str">
        <f ca="1"/>
        <v>Paul Baker</v>
      </c>
      <c r="BL27" t="str">
        <f ca="1"/>
        <v>P001</v>
      </c>
      <c r="BM27" t="str">
        <f ca="1"/>
        <v>Laptop</v>
      </c>
      <c r="BN27" t="str">
        <f ca="1"/>
        <v>Electronics</v>
      </c>
      <c r="BO27">
        <f ca="1"/>
        <v>5</v>
      </c>
      <c r="BP27">
        <f ca="1"/>
        <v>899.99</v>
      </c>
      <c r="BQ27" t="str">
        <f ca="1"/>
        <v>Credit Card</v>
      </c>
      <c r="BR27" t="str">
        <f ca="1"/>
        <v>South</v>
      </c>
      <c r="BS27" t="str">
        <f ca="1"/>
        <v>Standard</v>
      </c>
      <c r="BT27">
        <f ca="1"/>
        <v>44974</v>
      </c>
      <c r="BU27">
        <f ca="1"/>
        <v>4499.95</v>
      </c>
      <c r="BV27">
        <f ca="1"/>
        <v>46324.554708333337</v>
      </c>
      <c r="BW27" t="str">
        <f ca="1"/>
        <v>High</v>
      </c>
    </row>
    <row r="28" spans="1:75">
      <c r="A28" t="str">
        <f>'Raw Data'!D22</f>
        <v>Barbara Young</v>
      </c>
      <c r="B28" s="1">
        <f>'Raw Data'!M22</f>
        <v>45167</v>
      </c>
      <c r="C28">
        <f t="shared" ca="1" si="0"/>
        <v>3</v>
      </c>
      <c r="D28">
        <f t="shared" ca="1" si="1"/>
        <v>38</v>
      </c>
      <c r="E28" s="1">
        <f t="shared" si="2"/>
        <v>45169</v>
      </c>
      <c r="I28" t="str">
        <f ca="1"/>
        <v>TRX0088</v>
      </c>
      <c r="J28">
        <f ca="1"/>
        <v>45456</v>
      </c>
      <c r="K28" t="str">
        <f ca="1"/>
        <v>CUST006</v>
      </c>
      <c r="L28" t="str">
        <f ca="1"/>
        <v>Lisa Anderson</v>
      </c>
      <c r="M28" t="str">
        <f ca="1"/>
        <v>P010</v>
      </c>
      <c r="N28" t="str">
        <f ca="1"/>
        <v>Keyboard</v>
      </c>
      <c r="O28" t="str">
        <f ca="1"/>
        <v>Electronics</v>
      </c>
      <c r="P28">
        <f ca="1"/>
        <v>5</v>
      </c>
      <c r="Q28">
        <f ca="1"/>
        <v>89.99</v>
      </c>
      <c r="R28" t="str">
        <f ca="1"/>
        <v>Cash</v>
      </c>
      <c r="S28" t="str">
        <f ca="1"/>
        <v>Central</v>
      </c>
      <c r="T28" t="str">
        <f ca="1"/>
        <v>Premium</v>
      </c>
      <c r="U28">
        <f ca="1"/>
        <v>44579</v>
      </c>
      <c r="V28">
        <f ca="1"/>
        <v>449.95</v>
      </c>
      <c r="W28">
        <f ca="1"/>
        <v>46324.554708333337</v>
      </c>
      <c r="X28" t="str">
        <f ca="1"/>
        <v>Low</v>
      </c>
      <c r="Z28" t="str">
        <f ca="1"/>
        <v>TRX0217</v>
      </c>
      <c r="AA28">
        <f ca="1"/>
        <v>45503</v>
      </c>
      <c r="AB28" t="str">
        <f ca="1"/>
        <v>CUST025</v>
      </c>
      <c r="AC28" t="str">
        <f ca="1"/>
        <v>Mark Carter</v>
      </c>
      <c r="AD28" t="str">
        <f ca="1"/>
        <v>P002</v>
      </c>
      <c r="AE28" t="str">
        <f ca="1"/>
        <v>Smartphone</v>
      </c>
      <c r="AF28" t="str">
        <f ca="1"/>
        <v>Electronics</v>
      </c>
      <c r="AG28">
        <f ca="1"/>
        <v>2</v>
      </c>
      <c r="AH28">
        <f ca="1"/>
        <v>699.99</v>
      </c>
      <c r="AI28" t="str">
        <f ca="1"/>
        <v>Credit Card</v>
      </c>
      <c r="AJ28" t="str">
        <f ca="1"/>
        <v>North</v>
      </c>
      <c r="AK28" t="str">
        <f ca="1"/>
        <v>Premium</v>
      </c>
      <c r="AL28">
        <f ca="1"/>
        <v>44999</v>
      </c>
      <c r="AM28">
        <f ca="1"/>
        <v>1399.98</v>
      </c>
      <c r="AN28">
        <f ca="1"/>
        <v>46324.554708333337</v>
      </c>
      <c r="AO28" t="str">
        <f ca="1"/>
        <v>High</v>
      </c>
      <c r="AQ28" t="str">
        <f ca="1"/>
        <v>TRX0012</v>
      </c>
      <c r="AR28">
        <f ca="1"/>
        <v>45622</v>
      </c>
      <c r="AS28" t="str">
        <f ca="1"/>
        <v>CUST045</v>
      </c>
      <c r="AT28" t="str">
        <f ca="1"/>
        <v>Douglas Watson</v>
      </c>
      <c r="AU28" t="str">
        <f ca="1"/>
        <v>P009</v>
      </c>
      <c r="AV28" t="str">
        <f ca="1"/>
        <v>Monitor</v>
      </c>
      <c r="AW28" t="str">
        <f ca="1"/>
        <v>Electronics</v>
      </c>
      <c r="AX28">
        <f ca="1"/>
        <v>5</v>
      </c>
      <c r="AY28">
        <f ca="1"/>
        <v>249.99</v>
      </c>
      <c r="AZ28" t="str">
        <f ca="1"/>
        <v>Credit Card</v>
      </c>
      <c r="BA28" t="str">
        <f ca="1"/>
        <v>North</v>
      </c>
      <c r="BB28" t="str">
        <f ca="1"/>
        <v>Basic</v>
      </c>
      <c r="BC28">
        <f ca="1"/>
        <v>44873</v>
      </c>
      <c r="BD28">
        <f ca="1"/>
        <v>1249.95</v>
      </c>
      <c r="BE28">
        <f ca="1"/>
        <v>46324.554708333337</v>
      </c>
      <c r="BF28" t="str">
        <f ca="1"/>
        <v>High</v>
      </c>
      <c r="BH28" t="str">
        <f ca="1"/>
        <v>TRX0025</v>
      </c>
      <c r="BI28">
        <f ca="1"/>
        <v>45468</v>
      </c>
      <c r="BJ28" t="str">
        <f ca="1"/>
        <v>CUST049</v>
      </c>
      <c r="BK28" t="str">
        <f ca="1"/>
        <v>Raymond Ross</v>
      </c>
      <c r="BL28" t="str">
        <f ca="1"/>
        <v>P010</v>
      </c>
      <c r="BM28" t="str">
        <f ca="1"/>
        <v>Keyboard</v>
      </c>
      <c r="BN28" t="str">
        <f ca="1"/>
        <v>Electronics</v>
      </c>
      <c r="BO28">
        <f ca="1"/>
        <v>4</v>
      </c>
      <c r="BP28">
        <f ca="1"/>
        <v>89.99</v>
      </c>
      <c r="BQ28" t="str">
        <f ca="1"/>
        <v>Debit Card</v>
      </c>
      <c r="BR28" t="str">
        <f ca="1"/>
        <v>South</v>
      </c>
      <c r="BS28" t="str">
        <f ca="1"/>
        <v>Basic</v>
      </c>
      <c r="BT28">
        <f ca="1"/>
        <v>45281</v>
      </c>
      <c r="BU28">
        <f ca="1"/>
        <v>359.96</v>
      </c>
      <c r="BV28">
        <f ca="1"/>
        <v>46324.554708333337</v>
      </c>
      <c r="BW28" t="str">
        <f ca="1"/>
        <v>Low</v>
      </c>
    </row>
    <row r="29" spans="1:75">
      <c r="A29" t="str">
        <f>'Raw Data'!D23</f>
        <v>Patricia Moore</v>
      </c>
      <c r="B29" s="1">
        <f>'Raw Data'!M23</f>
        <v>44409</v>
      </c>
      <c r="C29">
        <f t="shared" ca="1" si="0"/>
        <v>5</v>
      </c>
      <c r="D29">
        <f t="shared" ca="1" si="1"/>
        <v>62</v>
      </c>
      <c r="E29" s="1">
        <f t="shared" si="2"/>
        <v>44439</v>
      </c>
      <c r="I29" t="str">
        <f ca="1"/>
        <v>TRX0115</v>
      </c>
      <c r="J29">
        <f ca="1"/>
        <v>45459</v>
      </c>
      <c r="K29" t="str">
        <f ca="1"/>
        <v>CUST012</v>
      </c>
      <c r="L29" t="str">
        <f ca="1"/>
        <v>Patricia Moore</v>
      </c>
      <c r="M29" t="str">
        <f ca="1"/>
        <v>P010</v>
      </c>
      <c r="N29" t="str">
        <f ca="1"/>
        <v>Keyboard</v>
      </c>
      <c r="O29" t="str">
        <f ca="1"/>
        <v>Electronics</v>
      </c>
      <c r="P29">
        <f ca="1"/>
        <v>2</v>
      </c>
      <c r="Q29">
        <f ca="1"/>
        <v>89.99</v>
      </c>
      <c r="R29" t="str">
        <f ca="1"/>
        <v>Credit Card</v>
      </c>
      <c r="S29" t="str">
        <f ca="1"/>
        <v>South</v>
      </c>
      <c r="T29" t="str">
        <f ca="1"/>
        <v>Premium</v>
      </c>
      <c r="U29">
        <f ca="1"/>
        <v>44471</v>
      </c>
      <c r="V29">
        <f ca="1"/>
        <v>179.98</v>
      </c>
      <c r="W29">
        <f ca="1"/>
        <v>46324.554708333337</v>
      </c>
      <c r="X29" t="str">
        <f ca="1"/>
        <v>Low</v>
      </c>
      <c r="Z29" t="str">
        <f ca="1"/>
        <v>TRX0101</v>
      </c>
      <c r="AA29">
        <f ca="1"/>
        <v>45513</v>
      </c>
      <c r="AB29" t="str">
        <f ca="1"/>
        <v>CUST010</v>
      </c>
      <c r="AC29" t="str">
        <f ca="1"/>
        <v>Maria Garcia</v>
      </c>
      <c r="AD29" t="str">
        <f ca="1"/>
        <v>P010</v>
      </c>
      <c r="AE29" t="str">
        <f ca="1"/>
        <v>Keyboard</v>
      </c>
      <c r="AF29" t="str">
        <f ca="1"/>
        <v>Electronics</v>
      </c>
      <c r="AG29">
        <f ca="1"/>
        <v>1</v>
      </c>
      <c r="AH29">
        <f ca="1"/>
        <v>89.99</v>
      </c>
      <c r="AI29" t="str">
        <f ca="1"/>
        <v>Credit Card</v>
      </c>
      <c r="AJ29" t="str">
        <f ca="1"/>
        <v>North</v>
      </c>
      <c r="AK29" t="str">
        <f ca="1"/>
        <v>Standard</v>
      </c>
      <c r="AL29">
        <f ca="1"/>
        <v>45393</v>
      </c>
      <c r="AM29">
        <f ca="1"/>
        <v>89.99</v>
      </c>
      <c r="AN29">
        <f ca="1"/>
        <v>46324.554708333337</v>
      </c>
      <c r="AO29" t="str">
        <f ca="1"/>
        <v>Low</v>
      </c>
      <c r="AQ29" t="str">
        <f ca="1"/>
        <v>TRX0066</v>
      </c>
      <c r="AR29">
        <f ca="1"/>
        <v>45630</v>
      </c>
      <c r="AS29" t="str">
        <f ca="1"/>
        <v>CUST024</v>
      </c>
      <c r="AT29" t="str">
        <f ca="1"/>
        <v>Dorothy Nelson</v>
      </c>
      <c r="AU29" t="str">
        <f ca="1"/>
        <v>P002</v>
      </c>
      <c r="AV29" t="str">
        <f ca="1"/>
        <v>Smartphone</v>
      </c>
      <c r="AW29" t="str">
        <f ca="1"/>
        <v>Electronics</v>
      </c>
      <c r="AX29">
        <f ca="1"/>
        <v>4</v>
      </c>
      <c r="AY29">
        <f ca="1"/>
        <v>699.99</v>
      </c>
      <c r="AZ29" t="str">
        <f ca="1"/>
        <v>Credit Card</v>
      </c>
      <c r="BA29" t="str">
        <f ca="1"/>
        <v>North</v>
      </c>
      <c r="BB29" t="str">
        <f ca="1"/>
        <v>Premium</v>
      </c>
      <c r="BC29">
        <f ca="1"/>
        <v>44703</v>
      </c>
      <c r="BD29">
        <f ca="1"/>
        <v>2799.96</v>
      </c>
      <c r="BE29">
        <f ca="1"/>
        <v>46324.554708333337</v>
      </c>
      <c r="BF29" t="str">
        <f ca="1"/>
        <v>High</v>
      </c>
      <c r="BH29" t="str">
        <f ca="1"/>
        <v>TRX0052</v>
      </c>
      <c r="BI29">
        <f ca="1"/>
        <v>45476</v>
      </c>
      <c r="BJ29" t="str">
        <f ca="1"/>
        <v>CUST022</v>
      </c>
      <c r="BK29" t="str">
        <f ca="1"/>
        <v>Susan Green</v>
      </c>
      <c r="BL29" t="str">
        <f ca="1"/>
        <v>P010</v>
      </c>
      <c r="BM29" t="str">
        <f ca="1"/>
        <v>Keyboard</v>
      </c>
      <c r="BN29" t="str">
        <f ca="1"/>
        <v>Electronics</v>
      </c>
      <c r="BO29">
        <f ca="1"/>
        <v>1</v>
      </c>
      <c r="BP29">
        <f ca="1"/>
        <v>89.99</v>
      </c>
      <c r="BQ29" t="str">
        <f ca="1"/>
        <v>Cash</v>
      </c>
      <c r="BR29" t="str">
        <f ca="1"/>
        <v>South</v>
      </c>
      <c r="BS29" t="str">
        <f ca="1"/>
        <v>Standard</v>
      </c>
      <c r="BT29">
        <f ca="1"/>
        <v>44611</v>
      </c>
      <c r="BU29">
        <f ca="1"/>
        <v>89.99</v>
      </c>
      <c r="BV29">
        <f ca="1"/>
        <v>46324.554708333337</v>
      </c>
      <c r="BW29" t="str">
        <f ca="1"/>
        <v>Low</v>
      </c>
    </row>
    <row r="30" spans="1:75">
      <c r="A30" t="str">
        <f>'Raw Data'!D24</f>
        <v>Cynthia Price</v>
      </c>
      <c r="B30" s="1">
        <f>'Raw Data'!M24</f>
        <v>44468</v>
      </c>
      <c r="C30">
        <f t="shared" ca="1" si="0"/>
        <v>5</v>
      </c>
      <c r="D30">
        <f t="shared" ca="1" si="1"/>
        <v>61</v>
      </c>
      <c r="E30" s="1">
        <f t="shared" si="2"/>
        <v>44469</v>
      </c>
      <c r="I30" t="str">
        <f ca="1"/>
        <v>TRX0154</v>
      </c>
      <c r="J30">
        <f ca="1"/>
        <v>45459</v>
      </c>
      <c r="K30" t="str">
        <f ca="1"/>
        <v>CUST023</v>
      </c>
      <c r="L30" t="str">
        <f ca="1"/>
        <v>Paul Baker</v>
      </c>
      <c r="M30" t="str">
        <f ca="1"/>
        <v>P001</v>
      </c>
      <c r="N30" t="str">
        <f ca="1"/>
        <v>Laptop</v>
      </c>
      <c r="O30" t="str">
        <f ca="1"/>
        <v>Electronics</v>
      </c>
      <c r="P30">
        <f ca="1"/>
        <v>5</v>
      </c>
      <c r="Q30">
        <f ca="1"/>
        <v>899.99</v>
      </c>
      <c r="R30" t="str">
        <f ca="1"/>
        <v>Credit Card</v>
      </c>
      <c r="S30" t="str">
        <f ca="1"/>
        <v>South</v>
      </c>
      <c r="T30" t="str">
        <f ca="1"/>
        <v>Standard</v>
      </c>
      <c r="U30">
        <f ca="1"/>
        <v>44974</v>
      </c>
      <c r="V30">
        <f ca="1"/>
        <v>4499.95</v>
      </c>
      <c r="W30">
        <f ca="1"/>
        <v>46324.554708333337</v>
      </c>
      <c r="X30" t="str">
        <f ca="1"/>
        <v>High</v>
      </c>
      <c r="Z30" t="str">
        <f ca="1"/>
        <v>TRX0205</v>
      </c>
      <c r="AA30">
        <f ca="1"/>
        <v>45515</v>
      </c>
      <c r="AB30" t="str">
        <f ca="1"/>
        <v>CUST025</v>
      </c>
      <c r="AC30" t="str">
        <f ca="1"/>
        <v>Mark Carter</v>
      </c>
      <c r="AD30" t="str">
        <f ca="1"/>
        <v>P007</v>
      </c>
      <c r="AE30" t="str">
        <f ca="1"/>
        <v>Desk</v>
      </c>
      <c r="AF30" t="str">
        <f ca="1"/>
        <v>Furniture</v>
      </c>
      <c r="AG30">
        <f ca="1"/>
        <v>5</v>
      </c>
      <c r="AH30">
        <f ca="1"/>
        <v>299.99</v>
      </c>
      <c r="AI30" t="str">
        <f ca="1"/>
        <v>Credit Card</v>
      </c>
      <c r="AJ30" t="str">
        <f ca="1"/>
        <v>North</v>
      </c>
      <c r="AK30" t="str">
        <f ca="1"/>
        <v>Basic</v>
      </c>
      <c r="AL30">
        <f ca="1"/>
        <v>44965</v>
      </c>
      <c r="AM30">
        <f ca="1"/>
        <v>1499.95</v>
      </c>
      <c r="AN30">
        <f ca="1"/>
        <v>46324.554708333337</v>
      </c>
      <c r="AO30" t="str">
        <f ca="1"/>
        <v>High</v>
      </c>
      <c r="AQ30" t="str">
        <f ca="1"/>
        <v>TRX0032</v>
      </c>
      <c r="AR30">
        <f ca="1"/>
        <v>45638</v>
      </c>
      <c r="AS30" t="str">
        <f ca="1"/>
        <v>CUST041</v>
      </c>
      <c r="AT30" t="str">
        <f ca="1"/>
        <v>Peter Richardson</v>
      </c>
      <c r="AU30" t="str">
        <f ca="1"/>
        <v>P001</v>
      </c>
      <c r="AV30" t="str">
        <f ca="1"/>
        <v>Laptop</v>
      </c>
      <c r="AW30" t="str">
        <f ca="1"/>
        <v>Electronics</v>
      </c>
      <c r="AX30">
        <f ca="1"/>
        <v>2</v>
      </c>
      <c r="AY30">
        <f ca="1"/>
        <v>899.99</v>
      </c>
      <c r="AZ30" t="str">
        <f ca="1"/>
        <v>Cash</v>
      </c>
      <c r="BA30" t="str">
        <f ca="1"/>
        <v>North</v>
      </c>
      <c r="BB30" t="str">
        <f ca="1"/>
        <v>Basic</v>
      </c>
      <c r="BC30">
        <f ca="1"/>
        <v>44406</v>
      </c>
      <c r="BD30">
        <f ca="1"/>
        <v>1799.98</v>
      </c>
      <c r="BE30">
        <f ca="1"/>
        <v>46324.554708333337</v>
      </c>
      <c r="BF30" t="str">
        <f ca="1"/>
        <v>High</v>
      </c>
      <c r="BH30" t="str">
        <f ca="1"/>
        <v>TRX0086</v>
      </c>
      <c r="BI30">
        <f ca="1"/>
        <v>45481</v>
      </c>
      <c r="BJ30" t="str">
        <f ca="1"/>
        <v>CUST020</v>
      </c>
      <c r="BK30" t="str">
        <f ca="1"/>
        <v>Margaret Wright</v>
      </c>
      <c r="BL30" t="str">
        <f ca="1"/>
        <v>P008</v>
      </c>
      <c r="BM30" t="str">
        <f ca="1"/>
        <v>Bookshelf</v>
      </c>
      <c r="BN30" t="str">
        <f ca="1"/>
        <v>Furniture</v>
      </c>
      <c r="BO30">
        <f ca="1"/>
        <v>1</v>
      </c>
      <c r="BP30">
        <f ca="1"/>
        <v>149.99</v>
      </c>
      <c r="BQ30" t="str">
        <f ca="1"/>
        <v>PayPal</v>
      </c>
      <c r="BR30" t="str">
        <f ca="1"/>
        <v>North</v>
      </c>
      <c r="BS30" t="str">
        <f ca="1"/>
        <v>Basic</v>
      </c>
      <c r="BT30">
        <f ca="1"/>
        <v>44421</v>
      </c>
      <c r="BU30">
        <f ca="1"/>
        <v>149.99</v>
      </c>
      <c r="BV30">
        <f ca="1"/>
        <v>46324.554708333337</v>
      </c>
      <c r="BW30" t="str">
        <f ca="1"/>
        <v>Low</v>
      </c>
    </row>
    <row r="31" spans="1:75">
      <c r="A31" t="str">
        <f>'Raw Data'!D25</f>
        <v>Mark Carter</v>
      </c>
      <c r="B31" s="1">
        <f>'Raw Data'!M25</f>
        <v>44716</v>
      </c>
      <c r="C31">
        <f t="shared" ca="1" si="0"/>
        <v>4</v>
      </c>
      <c r="D31">
        <f t="shared" ca="1" si="1"/>
        <v>52</v>
      </c>
      <c r="E31" s="1">
        <f t="shared" si="2"/>
        <v>44742</v>
      </c>
      <c r="I31" t="str">
        <f ca="1"/>
        <v>TRX0044</v>
      </c>
      <c r="J31">
        <f ca="1"/>
        <v>45459</v>
      </c>
      <c r="K31" t="str">
        <f ca="1"/>
        <v>CUST029</v>
      </c>
      <c r="L31" t="str">
        <f ca="1"/>
        <v>Edward Mitchell</v>
      </c>
      <c r="M31" t="str">
        <f ca="1"/>
        <v>P001</v>
      </c>
      <c r="N31" t="str">
        <f ca="1"/>
        <v>Laptop</v>
      </c>
      <c r="O31" t="str">
        <f ca="1"/>
        <v>Electronics</v>
      </c>
      <c r="P31">
        <f ca="1"/>
        <v>5</v>
      </c>
      <c r="Q31">
        <f ca="1"/>
        <v>899.99</v>
      </c>
      <c r="R31" t="str">
        <f ca="1"/>
        <v>PayPal</v>
      </c>
      <c r="S31" t="str">
        <f ca="1"/>
        <v>East</v>
      </c>
      <c r="T31" t="str">
        <f ca="1"/>
        <v>Premium</v>
      </c>
      <c r="U31">
        <f ca="1"/>
        <v>45278</v>
      </c>
      <c r="V31">
        <f ca="1"/>
        <v>4499.95</v>
      </c>
      <c r="W31">
        <f ca="1"/>
        <v>46324.554708333337</v>
      </c>
      <c r="X31" t="str">
        <f ca="1"/>
        <v>High</v>
      </c>
      <c r="Z31" t="str">
        <f ca="1"/>
        <v>TRX0098</v>
      </c>
      <c r="AA31">
        <f ca="1"/>
        <v>45517</v>
      </c>
      <c r="AB31" t="str">
        <f ca="1"/>
        <v>CUST026</v>
      </c>
      <c r="AC31" t="str">
        <f ca="1"/>
        <v>Karen Hill</v>
      </c>
      <c r="AD31" t="str">
        <f ca="1"/>
        <v>P009</v>
      </c>
      <c r="AE31" t="str">
        <f ca="1"/>
        <v>Monitor</v>
      </c>
      <c r="AF31" t="str">
        <f ca="1"/>
        <v>Electronics</v>
      </c>
      <c r="AG31">
        <f ca="1"/>
        <v>3</v>
      </c>
      <c r="AH31">
        <f ca="1"/>
        <v>249.99</v>
      </c>
      <c r="AI31" t="str">
        <f ca="1"/>
        <v>PayPal</v>
      </c>
      <c r="AJ31" t="str">
        <f ca="1"/>
        <v>North</v>
      </c>
      <c r="AK31" t="str">
        <f ca="1"/>
        <v>Premium</v>
      </c>
      <c r="AL31">
        <f ca="1"/>
        <v>44465</v>
      </c>
      <c r="AM31">
        <f ca="1"/>
        <v>749.97</v>
      </c>
      <c r="AN31">
        <f ca="1"/>
        <v>46324.554708333337</v>
      </c>
      <c r="AO31" t="str">
        <f ca="1"/>
        <v>Medium</v>
      </c>
      <c r="AQ31" t="str">
        <f ca="1"/>
        <v>TRX0207</v>
      </c>
      <c r="AR31">
        <f ca="1"/>
        <v>45657</v>
      </c>
      <c r="AS31" t="str">
        <f ca="1"/>
        <v>CUST025</v>
      </c>
      <c r="AT31" t="str">
        <f ca="1"/>
        <v>Mark Carter</v>
      </c>
      <c r="AU31" t="str">
        <f ca="1"/>
        <v>P001</v>
      </c>
      <c r="AV31" t="str">
        <f ca="1"/>
        <v>Laptop</v>
      </c>
      <c r="AW31" t="str">
        <f ca="1"/>
        <v>Electronics</v>
      </c>
      <c r="AX31">
        <f ca="1"/>
        <v>1</v>
      </c>
      <c r="AY31">
        <f ca="1"/>
        <v>899.99</v>
      </c>
      <c r="AZ31" t="str">
        <f ca="1"/>
        <v>PayPal</v>
      </c>
      <c r="BA31" t="str">
        <f ca="1"/>
        <v>North</v>
      </c>
      <c r="BB31" t="str">
        <f ca="1"/>
        <v>Premium</v>
      </c>
      <c r="BC31">
        <f ca="1"/>
        <v>45050</v>
      </c>
      <c r="BD31">
        <f ca="1"/>
        <v>899.99</v>
      </c>
      <c r="BE31">
        <f ca="1"/>
        <v>46324.554708333337</v>
      </c>
      <c r="BF31" t="str">
        <f ca="1"/>
        <v>Medium</v>
      </c>
      <c r="BH31" t="str">
        <f ca="1"/>
        <v>TRX0114</v>
      </c>
      <c r="BI31">
        <f ca="1"/>
        <v>45481</v>
      </c>
      <c r="BJ31" t="str">
        <f ca="1"/>
        <v>CUST018</v>
      </c>
      <c r="BK31" t="str">
        <f ca="1"/>
        <v>Barbara Young</v>
      </c>
      <c r="BL31" t="str">
        <f ca="1"/>
        <v>P010</v>
      </c>
      <c r="BM31" t="str">
        <f ca="1"/>
        <v>Keyboard</v>
      </c>
      <c r="BN31" t="str">
        <f ca="1"/>
        <v>Electronics</v>
      </c>
      <c r="BO31">
        <f ca="1"/>
        <v>5</v>
      </c>
      <c r="BP31">
        <f ca="1"/>
        <v>89.99</v>
      </c>
      <c r="BQ31" t="str">
        <f ca="1"/>
        <v>Debit Card</v>
      </c>
      <c r="BR31" t="str">
        <f ca="1"/>
        <v>North</v>
      </c>
      <c r="BS31" t="str">
        <f ca="1"/>
        <v>Premium</v>
      </c>
      <c r="BT31">
        <f ca="1"/>
        <v>45161</v>
      </c>
      <c r="BU31">
        <f ca="1"/>
        <v>449.95</v>
      </c>
      <c r="BV31">
        <f ca="1"/>
        <v>46324.554708333337</v>
      </c>
      <c r="BW31" t="str">
        <f ca="1"/>
        <v>Low</v>
      </c>
    </row>
    <row r="32" spans="1:75">
      <c r="A32" t="str">
        <f>'Raw Data'!D26</f>
        <v>Nancy Collins</v>
      </c>
      <c r="B32" s="1">
        <f>'Raw Data'!M26</f>
        <v>44525</v>
      </c>
      <c r="C32">
        <f t="shared" ca="1" si="0"/>
        <v>4</v>
      </c>
      <c r="D32">
        <f t="shared" ca="1" si="1"/>
        <v>59</v>
      </c>
      <c r="E32" s="1">
        <f t="shared" si="2"/>
        <v>44530</v>
      </c>
      <c r="I32" t="str">
        <f ca="1"/>
        <v>TRX0025</v>
      </c>
      <c r="J32">
        <f ca="1"/>
        <v>45468</v>
      </c>
      <c r="K32" t="str">
        <f ca="1"/>
        <v>CUST049</v>
      </c>
      <c r="L32" t="str">
        <f ca="1"/>
        <v>Raymond Ross</v>
      </c>
      <c r="M32" t="str">
        <f ca="1"/>
        <v>P010</v>
      </c>
      <c r="N32" t="str">
        <f ca="1"/>
        <v>Keyboard</v>
      </c>
      <c r="O32" t="str">
        <f ca="1"/>
        <v>Electronics</v>
      </c>
      <c r="P32">
        <f ca="1"/>
        <v>4</v>
      </c>
      <c r="Q32">
        <f ca="1"/>
        <v>89.99</v>
      </c>
      <c r="R32" t="str">
        <f ca="1"/>
        <v>Debit Card</v>
      </c>
      <c r="S32" t="str">
        <f ca="1"/>
        <v>South</v>
      </c>
      <c r="T32" t="str">
        <f ca="1"/>
        <v>Basic</v>
      </c>
      <c r="U32">
        <f ca="1"/>
        <v>45281</v>
      </c>
      <c r="V32">
        <f ca="1"/>
        <v>359.96</v>
      </c>
      <c r="W32">
        <f ca="1"/>
        <v>46324.554708333337</v>
      </c>
      <c r="X32" t="str">
        <f ca="1"/>
        <v>Low</v>
      </c>
      <c r="Z32" t="str">
        <f ca="1"/>
        <v>TRX0247</v>
      </c>
      <c r="AA32">
        <f ca="1"/>
        <v>45517</v>
      </c>
      <c r="AB32" t="str">
        <f ca="1"/>
        <v>CUST046</v>
      </c>
      <c r="AC32" t="str">
        <f ca="1"/>
        <v>Kathleen Bennett</v>
      </c>
      <c r="AD32" t="str">
        <f ca="1"/>
        <v>P006</v>
      </c>
      <c r="AE32" t="str">
        <f ca="1"/>
        <v>Office Chair</v>
      </c>
      <c r="AF32" t="str">
        <f ca="1"/>
        <v>Furniture</v>
      </c>
      <c r="AG32">
        <f ca="1"/>
        <v>4</v>
      </c>
      <c r="AH32">
        <f ca="1"/>
        <v>199.99</v>
      </c>
      <c r="AI32" t="str">
        <f ca="1"/>
        <v>Cash</v>
      </c>
      <c r="AJ32" t="str">
        <f ca="1"/>
        <v>North</v>
      </c>
      <c r="AK32" t="str">
        <f ca="1"/>
        <v>Standard</v>
      </c>
      <c r="AL32">
        <f ca="1"/>
        <v>44458</v>
      </c>
      <c r="AM32">
        <f ca="1"/>
        <v>799.96</v>
      </c>
      <c r="AN32">
        <f ca="1"/>
        <v>46324.554708333337</v>
      </c>
      <c r="AO32" t="str">
        <f ca="1"/>
        <v>Medium</v>
      </c>
      <c r="AQ32" t="str">
        <f ca="1"/>
        <v>TRX0026</v>
      </c>
      <c r="AR32">
        <f ca="1"/>
        <v>45661</v>
      </c>
      <c r="AS32" t="str">
        <f ca="1"/>
        <v>CUST037</v>
      </c>
      <c r="AT32" t="str">
        <f ca="1"/>
        <v>Arthur Edwards</v>
      </c>
      <c r="AU32" t="str">
        <f ca="1"/>
        <v>P001</v>
      </c>
      <c r="AV32" t="str">
        <f ca="1"/>
        <v>Laptop</v>
      </c>
      <c r="AW32" t="str">
        <f ca="1"/>
        <v>Electronics</v>
      </c>
      <c r="AX32">
        <f ca="1"/>
        <v>1</v>
      </c>
      <c r="AY32">
        <f ca="1"/>
        <v>899.99</v>
      </c>
      <c r="AZ32" t="str">
        <f ca="1"/>
        <v>PayPal</v>
      </c>
      <c r="BA32" t="str">
        <f ca="1"/>
        <v>North</v>
      </c>
      <c r="BB32" t="str">
        <f ca="1"/>
        <v>Standard</v>
      </c>
      <c r="BC32">
        <f ca="1"/>
        <v>44752</v>
      </c>
      <c r="BD32">
        <f ca="1"/>
        <v>899.99</v>
      </c>
      <c r="BE32">
        <f ca="1"/>
        <v>46324.554708333337</v>
      </c>
      <c r="BF32" t="str">
        <f ca="1"/>
        <v>Medium</v>
      </c>
      <c r="BH32" t="str">
        <f ca="1"/>
        <v>TRX0136</v>
      </c>
      <c r="BI32">
        <f ca="1"/>
        <v>45482</v>
      </c>
      <c r="BJ32" t="str">
        <f ca="1"/>
        <v>CUST049</v>
      </c>
      <c r="BK32" t="str">
        <f ca="1"/>
        <v>Raymond Ross</v>
      </c>
      <c r="BL32" t="str">
        <f ca="1"/>
        <v>P005</v>
      </c>
      <c r="BM32" t="str">
        <f ca="1"/>
        <v>Blender</v>
      </c>
      <c r="BN32" t="str">
        <f ca="1"/>
        <v>Appliances</v>
      </c>
      <c r="BO32">
        <f ca="1"/>
        <v>4</v>
      </c>
      <c r="BP32">
        <f ca="1"/>
        <v>59.99</v>
      </c>
      <c r="BQ32" t="str">
        <f ca="1"/>
        <v>Cash</v>
      </c>
      <c r="BR32" t="str">
        <f ca="1"/>
        <v>South</v>
      </c>
      <c r="BS32" t="str">
        <f ca="1"/>
        <v>Standard</v>
      </c>
      <c r="BT32">
        <f ca="1"/>
        <v>44509</v>
      </c>
      <c r="BU32">
        <f ca="1"/>
        <v>239.96</v>
      </c>
      <c r="BV32">
        <f ca="1"/>
        <v>46324.554708333337</v>
      </c>
      <c r="BW32" t="str">
        <f ca="1"/>
        <v>Low</v>
      </c>
    </row>
    <row r="33" spans="1:75">
      <c r="A33" t="str">
        <f>'Raw Data'!D27</f>
        <v>Susan Green</v>
      </c>
      <c r="B33" s="1">
        <f>'Raw Data'!M27</f>
        <v>45168</v>
      </c>
      <c r="C33">
        <f t="shared" ca="1" si="0"/>
        <v>3</v>
      </c>
      <c r="D33">
        <f t="shared" ca="1" si="1"/>
        <v>37</v>
      </c>
      <c r="E33" s="1">
        <f t="shared" si="2"/>
        <v>45169</v>
      </c>
      <c r="I33" t="str">
        <f ca="1"/>
        <v>TRX0007</v>
      </c>
      <c r="J33">
        <f ca="1"/>
        <v>45469</v>
      </c>
      <c r="K33" t="str">
        <f ca="1"/>
        <v>CUST009</v>
      </c>
      <c r="L33" t="str">
        <f ca="1"/>
        <v>Robert Thomas</v>
      </c>
      <c r="M33" t="str">
        <f ca="1"/>
        <v>P010</v>
      </c>
      <c r="N33" t="str">
        <f ca="1"/>
        <v>Keyboard</v>
      </c>
      <c r="O33" t="str">
        <f ca="1"/>
        <v>Electronics</v>
      </c>
      <c r="P33">
        <f ca="1"/>
        <v>2</v>
      </c>
      <c r="Q33">
        <f ca="1"/>
        <v>89.99</v>
      </c>
      <c r="R33" t="str">
        <f ca="1"/>
        <v>Cash</v>
      </c>
      <c r="S33" t="str">
        <f ca="1"/>
        <v>West</v>
      </c>
      <c r="T33" t="str">
        <f ca="1"/>
        <v>Basic</v>
      </c>
      <c r="U33">
        <f ca="1"/>
        <v>44438</v>
      </c>
      <c r="V33">
        <f ca="1"/>
        <v>179.98</v>
      </c>
      <c r="W33">
        <f ca="1"/>
        <v>46324.554708333337</v>
      </c>
      <c r="X33" t="str">
        <f ca="1"/>
        <v>Low</v>
      </c>
      <c r="Z33" t="str">
        <f ca="1"/>
        <v>TRX0027</v>
      </c>
      <c r="AA33">
        <f ca="1"/>
        <v>45519</v>
      </c>
      <c r="AB33" t="str">
        <f ca="1"/>
        <v>CUST028</v>
      </c>
      <c r="AC33" t="str">
        <f ca="1"/>
        <v>Betty Campbell</v>
      </c>
      <c r="AD33" t="str">
        <f ca="1"/>
        <v>P006</v>
      </c>
      <c r="AE33" t="str">
        <f ca="1"/>
        <v>Office Chair</v>
      </c>
      <c r="AF33" t="str">
        <f ca="1"/>
        <v>Furniture</v>
      </c>
      <c r="AG33">
        <f ca="1"/>
        <v>5</v>
      </c>
      <c r="AH33">
        <f ca="1"/>
        <v>199.99</v>
      </c>
      <c r="AI33" t="str">
        <f ca="1"/>
        <v>Cash</v>
      </c>
      <c r="AJ33" t="str">
        <f ca="1"/>
        <v>North</v>
      </c>
      <c r="AK33" t="str">
        <f ca="1"/>
        <v>Premium</v>
      </c>
      <c r="AL33">
        <f ca="1"/>
        <v>44991</v>
      </c>
      <c r="AM33">
        <f ca="1"/>
        <v>999.95</v>
      </c>
      <c r="AN33">
        <f ca="1"/>
        <v>46324.554708333337</v>
      </c>
      <c r="AO33" t="str">
        <f ca="1"/>
        <v>Medium</v>
      </c>
      <c r="AQ33" t="str">
        <f ca="1"/>
        <v>TRX0238</v>
      </c>
      <c r="AR33">
        <f ca="1"/>
        <v>45668</v>
      </c>
      <c r="AS33" t="str">
        <f ca="1"/>
        <v>CUST038</v>
      </c>
      <c r="AT33" t="str">
        <f ca="1"/>
        <v>Michelle Rogers</v>
      </c>
      <c r="AU33" t="str">
        <f ca="1"/>
        <v>P002</v>
      </c>
      <c r="AV33" t="str">
        <f ca="1"/>
        <v>Smartphone</v>
      </c>
      <c r="AW33" t="str">
        <f ca="1"/>
        <v>Electronics</v>
      </c>
      <c r="AX33">
        <f ca="1"/>
        <v>3</v>
      </c>
      <c r="AY33">
        <f ca="1"/>
        <v>699.99</v>
      </c>
      <c r="AZ33" t="str">
        <f ca="1"/>
        <v>Cash</v>
      </c>
      <c r="BA33" t="str">
        <f ca="1"/>
        <v>North</v>
      </c>
      <c r="BB33" t="str">
        <f ca="1"/>
        <v>Premium</v>
      </c>
      <c r="BC33">
        <f ca="1"/>
        <v>44602</v>
      </c>
      <c r="BD33">
        <f ca="1"/>
        <v>2099.9699999999998</v>
      </c>
      <c r="BE33">
        <f ca="1"/>
        <v>46324.554708333337</v>
      </c>
      <c r="BF33" t="str">
        <f ca="1"/>
        <v>High</v>
      </c>
      <c r="BH33" t="str">
        <f ca="1"/>
        <v>TRX0141</v>
      </c>
      <c r="BI33">
        <f ca="1"/>
        <v>45484</v>
      </c>
      <c r="BJ33" t="str">
        <f ca="1"/>
        <v>CUST033</v>
      </c>
      <c r="BK33" t="str">
        <f ca="1"/>
        <v>Frank Torres</v>
      </c>
      <c r="BL33" t="str">
        <f ca="1"/>
        <v>P007</v>
      </c>
      <c r="BM33" t="str">
        <f ca="1"/>
        <v>Desk</v>
      </c>
      <c r="BN33" t="str">
        <f ca="1"/>
        <v>Furniture</v>
      </c>
      <c r="BO33">
        <f ca="1"/>
        <v>1</v>
      </c>
      <c r="BP33">
        <f ca="1"/>
        <v>299.99</v>
      </c>
      <c r="BQ33" t="str">
        <f ca="1"/>
        <v>Credit Card</v>
      </c>
      <c r="BR33" t="str">
        <f ca="1"/>
        <v>North</v>
      </c>
      <c r="BS33" t="str">
        <f ca="1"/>
        <v>Premium</v>
      </c>
      <c r="BT33">
        <f ca="1"/>
        <v>44891</v>
      </c>
      <c r="BU33">
        <f ca="1"/>
        <v>299.99</v>
      </c>
      <c r="BV33">
        <f ca="1"/>
        <v>46324.554708333337</v>
      </c>
      <c r="BW33" t="str">
        <f ca="1"/>
        <v>Low</v>
      </c>
    </row>
    <row r="34" spans="1:75">
      <c r="A34" t="str">
        <f>'Raw Data'!D28</f>
        <v>Linda Martin</v>
      </c>
      <c r="B34" s="1">
        <f>'Raw Data'!M28</f>
        <v>45012</v>
      </c>
      <c r="C34">
        <f t="shared" ca="1" si="0"/>
        <v>3</v>
      </c>
      <c r="D34">
        <f t="shared" ca="1" si="1"/>
        <v>43</v>
      </c>
      <c r="E34" s="1">
        <f t="shared" si="2"/>
        <v>45016</v>
      </c>
      <c r="I34" t="str">
        <f ca="1"/>
        <v>TRX0184</v>
      </c>
      <c r="J34">
        <f ca="1"/>
        <v>45471</v>
      </c>
      <c r="K34" t="str">
        <f ca="1"/>
        <v>CUST046</v>
      </c>
      <c r="L34" t="str">
        <f ca="1"/>
        <v>Kathleen Bennett</v>
      </c>
      <c r="M34" t="str">
        <f ca="1"/>
        <v>P002</v>
      </c>
      <c r="N34" t="str">
        <f ca="1"/>
        <v>Smartphone</v>
      </c>
      <c r="O34" t="str">
        <f ca="1"/>
        <v>Electronics</v>
      </c>
      <c r="P34">
        <f ca="1"/>
        <v>3</v>
      </c>
      <c r="Q34">
        <f ca="1"/>
        <v>699.99</v>
      </c>
      <c r="R34" t="str">
        <f ca="1"/>
        <v>Credit Card</v>
      </c>
      <c r="S34" t="str">
        <f ca="1"/>
        <v>East</v>
      </c>
      <c r="T34" t="str">
        <f ca="1"/>
        <v>Premium</v>
      </c>
      <c r="U34">
        <f ca="1"/>
        <v>45102</v>
      </c>
      <c r="V34">
        <f ca="1"/>
        <v>2099.9699999999998</v>
      </c>
      <c r="W34">
        <f ca="1"/>
        <v>46324.554708333337</v>
      </c>
      <c r="X34" t="str">
        <f ca="1"/>
        <v>High</v>
      </c>
      <c r="Z34" t="str">
        <f ca="1"/>
        <v>TRX0248</v>
      </c>
      <c r="AA34">
        <f ca="1"/>
        <v>45534</v>
      </c>
      <c r="AB34" t="str">
        <f ca="1"/>
        <v>CUST032</v>
      </c>
      <c r="AC34" t="str">
        <f ca="1"/>
        <v>Sandra Phillips</v>
      </c>
      <c r="AD34" t="str">
        <f ca="1"/>
        <v>P002</v>
      </c>
      <c r="AE34" t="str">
        <f ca="1"/>
        <v>Smartphone</v>
      </c>
      <c r="AF34" t="str">
        <f ca="1"/>
        <v>Electronics</v>
      </c>
      <c r="AG34">
        <f ca="1"/>
        <v>2</v>
      </c>
      <c r="AH34">
        <f ca="1"/>
        <v>699.99</v>
      </c>
      <c r="AI34" t="str">
        <f ca="1"/>
        <v>Credit Card</v>
      </c>
      <c r="AJ34" t="str">
        <f ca="1"/>
        <v>North</v>
      </c>
      <c r="AK34" t="str">
        <f ca="1"/>
        <v>Premium</v>
      </c>
      <c r="AL34">
        <f ca="1"/>
        <v>44421</v>
      </c>
      <c r="AM34">
        <f ca="1"/>
        <v>1399.98</v>
      </c>
      <c r="AN34">
        <f ca="1"/>
        <v>46324.554708333337</v>
      </c>
      <c r="AO34" t="str">
        <f ca="1"/>
        <v>High</v>
      </c>
      <c r="AQ34" t="str">
        <f ca="1"/>
        <v>TRX0087</v>
      </c>
      <c r="AR34">
        <f ca="1"/>
        <v>45671</v>
      </c>
      <c r="AS34" t="str">
        <f ca="1"/>
        <v>CUST028</v>
      </c>
      <c r="AT34" t="str">
        <f ca="1"/>
        <v>Betty Campbell</v>
      </c>
      <c r="AU34" t="str">
        <f ca="1"/>
        <v>P009</v>
      </c>
      <c r="AV34" t="str">
        <f ca="1"/>
        <v>Monitor</v>
      </c>
      <c r="AW34" t="str">
        <f ca="1"/>
        <v>Electronics</v>
      </c>
      <c r="AX34">
        <f ca="1"/>
        <v>4</v>
      </c>
      <c r="AY34">
        <f ca="1"/>
        <v>249.99</v>
      </c>
      <c r="AZ34" t="str">
        <f ca="1"/>
        <v>Credit Card</v>
      </c>
      <c r="BA34" t="str">
        <f ca="1"/>
        <v>North</v>
      </c>
      <c r="BB34" t="str">
        <f ca="1"/>
        <v>Premium</v>
      </c>
      <c r="BC34">
        <f ca="1"/>
        <v>44460</v>
      </c>
      <c r="BD34">
        <f ca="1"/>
        <v>999.96</v>
      </c>
      <c r="BE34">
        <f ca="1"/>
        <v>46324.554708333337</v>
      </c>
      <c r="BF34" t="str">
        <f ca="1"/>
        <v>Medium</v>
      </c>
      <c r="BH34" t="str">
        <f ca="1"/>
        <v>TRX0097</v>
      </c>
      <c r="BI34">
        <f ca="1"/>
        <v>45487</v>
      </c>
      <c r="BJ34" t="str">
        <f ca="1"/>
        <v>CUST033</v>
      </c>
      <c r="BK34" t="str">
        <f ca="1"/>
        <v>Frank Torres</v>
      </c>
      <c r="BL34" t="str">
        <f ca="1"/>
        <v>P006</v>
      </c>
      <c r="BM34" t="str">
        <f ca="1"/>
        <v>Office Chair</v>
      </c>
      <c r="BN34" t="str">
        <f ca="1"/>
        <v>Furniture</v>
      </c>
      <c r="BO34">
        <f ca="1"/>
        <v>2</v>
      </c>
      <c r="BP34">
        <f ca="1"/>
        <v>199.99</v>
      </c>
      <c r="BQ34" t="str">
        <f ca="1"/>
        <v>Cash</v>
      </c>
      <c r="BR34" t="str">
        <f ca="1"/>
        <v>North</v>
      </c>
      <c r="BS34" t="str">
        <f ca="1"/>
        <v>Basic</v>
      </c>
      <c r="BT34">
        <f ca="1"/>
        <v>44541</v>
      </c>
      <c r="BU34">
        <f ca="1"/>
        <v>399.98</v>
      </c>
      <c r="BV34">
        <f ca="1"/>
        <v>46324.554708333337</v>
      </c>
      <c r="BW34" t="str">
        <f ca="1"/>
        <v>Low</v>
      </c>
    </row>
    <row r="35" spans="1:75">
      <c r="A35" t="str">
        <f>'Raw Data'!D29</f>
        <v>Patricia Moore</v>
      </c>
      <c r="B35" s="1">
        <f>'Raw Data'!M29</f>
        <v>44919</v>
      </c>
      <c r="C35">
        <f t="shared" ca="1" si="0"/>
        <v>3</v>
      </c>
      <c r="D35">
        <f t="shared" ca="1" si="1"/>
        <v>46</v>
      </c>
      <c r="E35" s="1">
        <f t="shared" si="2"/>
        <v>44926</v>
      </c>
      <c r="I35" t="str">
        <f ca="1"/>
        <v>TRX0104</v>
      </c>
      <c r="J35">
        <f ca="1"/>
        <v>45471</v>
      </c>
      <c r="K35" t="str">
        <f ca="1"/>
        <v>CUST012</v>
      </c>
      <c r="L35" t="str">
        <f ca="1"/>
        <v>Patricia Moore</v>
      </c>
      <c r="M35" t="str">
        <f ca="1"/>
        <v>P001</v>
      </c>
      <c r="N35" t="str">
        <f ca="1"/>
        <v>Laptop</v>
      </c>
      <c r="O35" t="str">
        <f ca="1"/>
        <v>Electronics</v>
      </c>
      <c r="P35">
        <f ca="1"/>
        <v>4</v>
      </c>
      <c r="Q35">
        <f ca="1"/>
        <v>899.99</v>
      </c>
      <c r="R35" t="str">
        <f ca="1"/>
        <v>Credit Card</v>
      </c>
      <c r="S35" t="str">
        <f ca="1"/>
        <v>East</v>
      </c>
      <c r="T35" t="str">
        <f ca="1"/>
        <v>Premium</v>
      </c>
      <c r="U35">
        <f ca="1"/>
        <v>44993</v>
      </c>
      <c r="V35">
        <f ca="1"/>
        <v>3599.96</v>
      </c>
      <c r="W35">
        <f ca="1"/>
        <v>46324.554708333337</v>
      </c>
      <c r="X35" t="str">
        <f ca="1"/>
        <v>High</v>
      </c>
      <c r="Z35" t="str">
        <f ca="1"/>
        <v>TRX0074</v>
      </c>
      <c r="AA35">
        <f ca="1"/>
        <v>45537</v>
      </c>
      <c r="AB35" t="str">
        <f ca="1"/>
        <v>CUST023</v>
      </c>
      <c r="AC35" t="str">
        <f ca="1"/>
        <v>Paul Baker</v>
      </c>
      <c r="AD35" t="str">
        <f ca="1"/>
        <v>P009</v>
      </c>
      <c r="AE35" t="str">
        <f ca="1"/>
        <v>Monitor</v>
      </c>
      <c r="AF35" t="str">
        <f ca="1"/>
        <v>Electronics</v>
      </c>
      <c r="AG35">
        <f ca="1"/>
        <v>1</v>
      </c>
      <c r="AH35">
        <f ca="1"/>
        <v>249.99</v>
      </c>
      <c r="AI35" t="str">
        <f ca="1"/>
        <v>Debit Card</v>
      </c>
      <c r="AJ35" t="str">
        <f ca="1"/>
        <v>North</v>
      </c>
      <c r="AK35" t="str">
        <f ca="1"/>
        <v>Premium</v>
      </c>
      <c r="AL35">
        <f ca="1"/>
        <v>45332</v>
      </c>
      <c r="AM35">
        <f ca="1"/>
        <v>249.99</v>
      </c>
      <c r="AN35">
        <f ca="1"/>
        <v>46324.554708333337</v>
      </c>
      <c r="AO35" t="str">
        <f ca="1"/>
        <v>Low</v>
      </c>
      <c r="AQ35" t="str">
        <f ca="1"/>
        <v>TRX0107</v>
      </c>
      <c r="AR35">
        <f ca="1"/>
        <v>45671</v>
      </c>
      <c r="AS35" t="str">
        <f ca="1"/>
        <v>CUST030</v>
      </c>
      <c r="AT35" t="str">
        <f ca="1"/>
        <v>Helen Roberts</v>
      </c>
      <c r="AU35" t="str">
        <f ca="1"/>
        <v>P003</v>
      </c>
      <c r="AV35" t="str">
        <f ca="1"/>
        <v>Headphones</v>
      </c>
      <c r="AW35" t="str">
        <f ca="1"/>
        <v>Electronics</v>
      </c>
      <c r="AX35">
        <f ca="1"/>
        <v>2</v>
      </c>
      <c r="AY35">
        <f ca="1"/>
        <v>149.99</v>
      </c>
      <c r="AZ35" t="str">
        <f ca="1"/>
        <v>Cash</v>
      </c>
      <c r="BA35" t="str">
        <f ca="1"/>
        <v>North</v>
      </c>
      <c r="BB35" t="str">
        <f ca="1"/>
        <v>Standard</v>
      </c>
      <c r="BC35">
        <f ca="1"/>
        <v>44913</v>
      </c>
      <c r="BD35">
        <f ca="1"/>
        <v>299.98</v>
      </c>
      <c r="BE35">
        <f ca="1"/>
        <v>46324.554708333337</v>
      </c>
      <c r="BF35" t="str">
        <f ca="1"/>
        <v>Low</v>
      </c>
      <c r="BH35" t="str">
        <f ca="1"/>
        <v>TRX0131</v>
      </c>
      <c r="BI35">
        <f ca="1"/>
        <v>45491</v>
      </c>
      <c r="BJ35" t="str">
        <f ca="1"/>
        <v>CUST026</v>
      </c>
      <c r="BK35" t="str">
        <f ca="1"/>
        <v>Karen Hill</v>
      </c>
      <c r="BL35" t="str">
        <f ca="1"/>
        <v>P006</v>
      </c>
      <c r="BM35" t="str">
        <f ca="1"/>
        <v>Office Chair</v>
      </c>
      <c r="BN35" t="str">
        <f ca="1"/>
        <v>Furniture</v>
      </c>
      <c r="BO35">
        <f ca="1"/>
        <v>3</v>
      </c>
      <c r="BP35">
        <f ca="1"/>
        <v>199.99</v>
      </c>
      <c r="BQ35" t="str">
        <f ca="1"/>
        <v>Cash</v>
      </c>
      <c r="BR35" t="str">
        <f ca="1"/>
        <v>North</v>
      </c>
      <c r="BS35" t="str">
        <f ca="1"/>
        <v>Premium</v>
      </c>
      <c r="BT35">
        <f ca="1"/>
        <v>45254</v>
      </c>
      <c r="BU35">
        <f ca="1"/>
        <v>599.97</v>
      </c>
      <c r="BV35">
        <f ca="1"/>
        <v>46324.554708333337</v>
      </c>
      <c r="BW35" t="str">
        <f ca="1"/>
        <v>Medium</v>
      </c>
    </row>
    <row r="36" spans="1:75">
      <c r="A36" t="str">
        <f>'Raw Data'!D30</f>
        <v>Helen Roberts</v>
      </c>
      <c r="B36" s="1">
        <f>'Raw Data'!M30</f>
        <v>45214</v>
      </c>
      <c r="C36">
        <f t="shared" ca="1" si="0"/>
        <v>3</v>
      </c>
      <c r="D36">
        <f t="shared" ca="1" si="1"/>
        <v>36</v>
      </c>
      <c r="E36" s="1">
        <f t="shared" si="2"/>
        <v>45230</v>
      </c>
      <c r="I36" t="str">
        <f ca="1"/>
        <v>TRX0096</v>
      </c>
      <c r="J36">
        <f ca="1"/>
        <v>45474</v>
      </c>
      <c r="K36" t="str">
        <f ca="1"/>
        <v>CUST002</v>
      </c>
      <c r="L36" t="str">
        <f ca="1"/>
        <v>Emma Wilson</v>
      </c>
      <c r="M36" t="str">
        <f ca="1"/>
        <v>P010</v>
      </c>
      <c r="N36" t="str">
        <f ca="1"/>
        <v>Keyboard</v>
      </c>
      <c r="O36" t="str">
        <f ca="1"/>
        <v>Electronics</v>
      </c>
      <c r="P36">
        <f ca="1"/>
        <v>2</v>
      </c>
      <c r="Q36">
        <f ca="1"/>
        <v>89.99</v>
      </c>
      <c r="R36" t="str">
        <f ca="1"/>
        <v>PayPal</v>
      </c>
      <c r="S36" t="str">
        <f ca="1"/>
        <v>Central</v>
      </c>
      <c r="T36" t="str">
        <f ca="1"/>
        <v>Premium</v>
      </c>
      <c r="U36">
        <f ca="1"/>
        <v>45275</v>
      </c>
      <c r="V36">
        <f ca="1"/>
        <v>179.98</v>
      </c>
      <c r="W36">
        <f ca="1"/>
        <v>46324.554708333337</v>
      </c>
      <c r="X36" t="str">
        <f ca="1"/>
        <v>Low</v>
      </c>
      <c r="Z36" t="str">
        <f ca="1"/>
        <v>TRX0112</v>
      </c>
      <c r="AA36">
        <f ca="1"/>
        <v>45544</v>
      </c>
      <c r="AB36" t="str">
        <f ca="1"/>
        <v>CUST008</v>
      </c>
      <c r="AC36" t="str">
        <f ca="1"/>
        <v>Jennifer Taylor</v>
      </c>
      <c r="AD36" t="str">
        <f ca="1"/>
        <v>P004</v>
      </c>
      <c r="AE36" t="str">
        <f ca="1"/>
        <v>Coffee Maker</v>
      </c>
      <c r="AF36" t="str">
        <f ca="1"/>
        <v>Appliances</v>
      </c>
      <c r="AG36">
        <f ca="1"/>
        <v>4</v>
      </c>
      <c r="AH36">
        <f ca="1"/>
        <v>79.989999999999995</v>
      </c>
      <c r="AI36" t="str">
        <f ca="1"/>
        <v>Cash</v>
      </c>
      <c r="AJ36" t="str">
        <f ca="1"/>
        <v>North</v>
      </c>
      <c r="AK36" t="str">
        <f ca="1"/>
        <v>Basic</v>
      </c>
      <c r="AL36">
        <f ca="1"/>
        <v>44530</v>
      </c>
      <c r="AM36">
        <f ca="1"/>
        <v>319.95999999999998</v>
      </c>
      <c r="AN36">
        <f ca="1"/>
        <v>46324.554708333337</v>
      </c>
      <c r="AO36" t="str">
        <f ca="1"/>
        <v>Low</v>
      </c>
      <c r="AQ36" t="str">
        <f ca="1"/>
        <v>TRX0047</v>
      </c>
      <c r="AR36">
        <f ca="1"/>
        <v>45711</v>
      </c>
      <c r="AS36" t="str">
        <f ca="1"/>
        <v>CUST042</v>
      </c>
      <c r="AT36" t="str">
        <f ca="1"/>
        <v>Ruth Brooks</v>
      </c>
      <c r="AU36" t="str">
        <f ca="1"/>
        <v>P002</v>
      </c>
      <c r="AV36" t="str">
        <f ca="1"/>
        <v>Smartphone</v>
      </c>
      <c r="AW36" t="str">
        <f ca="1"/>
        <v>Electronics</v>
      </c>
      <c r="AX36">
        <f ca="1"/>
        <v>1</v>
      </c>
      <c r="AY36">
        <f ca="1"/>
        <v>699.99</v>
      </c>
      <c r="AZ36" t="str">
        <f ca="1"/>
        <v>Cash</v>
      </c>
      <c r="BA36" t="str">
        <f ca="1"/>
        <v>North</v>
      </c>
      <c r="BB36" t="str">
        <f ca="1"/>
        <v>Premium</v>
      </c>
      <c r="BC36">
        <f ca="1"/>
        <v>44583</v>
      </c>
      <c r="BD36">
        <f ca="1"/>
        <v>699.99</v>
      </c>
      <c r="BE36">
        <f ca="1"/>
        <v>46324.554708333337</v>
      </c>
      <c r="BF36" t="str">
        <f ca="1"/>
        <v>Medium</v>
      </c>
      <c r="BH36" t="str">
        <f ca="1"/>
        <v>TRX0244</v>
      </c>
      <c r="BI36">
        <f ca="1"/>
        <v>45497</v>
      </c>
      <c r="BJ36" t="str">
        <f ca="1"/>
        <v>CUST013</v>
      </c>
      <c r="BK36" t="str">
        <f ca="1"/>
        <v>Joseph Jackson</v>
      </c>
      <c r="BL36" t="str">
        <f ca="1"/>
        <v>P001</v>
      </c>
      <c r="BM36" t="str">
        <f ca="1"/>
        <v>Laptop</v>
      </c>
      <c r="BN36" t="str">
        <f ca="1"/>
        <v>Electronics</v>
      </c>
      <c r="BO36">
        <f ca="1"/>
        <v>5</v>
      </c>
      <c r="BP36">
        <f ca="1"/>
        <v>899.99</v>
      </c>
      <c r="BQ36" t="str">
        <f ca="1"/>
        <v>Debit Card</v>
      </c>
      <c r="BR36" t="str">
        <f ca="1"/>
        <v>South</v>
      </c>
      <c r="BS36" t="str">
        <f ca="1"/>
        <v>Standard</v>
      </c>
      <c r="BT36">
        <f ca="1"/>
        <v>44899</v>
      </c>
      <c r="BU36">
        <f ca="1"/>
        <v>4499.95</v>
      </c>
      <c r="BV36">
        <f ca="1"/>
        <v>46324.554708333337</v>
      </c>
      <c r="BW36" t="str">
        <f ca="1"/>
        <v>High</v>
      </c>
    </row>
    <row r="37" spans="1:75">
      <c r="A37" t="str">
        <f>'Raw Data'!D31</f>
        <v>Edward Mitchell</v>
      </c>
      <c r="B37" s="1">
        <f>'Raw Data'!M31</f>
        <v>44867</v>
      </c>
      <c r="C37">
        <f t="shared" ca="1" si="0"/>
        <v>3</v>
      </c>
      <c r="D37">
        <f t="shared" ca="1" si="1"/>
        <v>47</v>
      </c>
      <c r="E37" s="1">
        <f t="shared" si="2"/>
        <v>44895</v>
      </c>
      <c r="I37" t="str">
        <f ca="1"/>
        <v>TRX0192</v>
      </c>
      <c r="J37">
        <f ca="1"/>
        <v>45475</v>
      </c>
      <c r="K37" t="str">
        <f ca="1"/>
        <v>CUST017</v>
      </c>
      <c r="L37" t="str">
        <f ca="1"/>
        <v>Charles Allen</v>
      </c>
      <c r="M37" t="str">
        <f ca="1"/>
        <v>P010</v>
      </c>
      <c r="N37" t="str">
        <f ca="1"/>
        <v>Keyboard</v>
      </c>
      <c r="O37" t="str">
        <f ca="1"/>
        <v>Electronics</v>
      </c>
      <c r="P37">
        <f ca="1"/>
        <v>1</v>
      </c>
      <c r="Q37">
        <f ca="1"/>
        <v>89.99</v>
      </c>
      <c r="R37" t="str">
        <f ca="1"/>
        <v>PayPal</v>
      </c>
      <c r="S37" t="str">
        <f ca="1"/>
        <v>West</v>
      </c>
      <c r="T37" t="str">
        <f ca="1"/>
        <v>Standard</v>
      </c>
      <c r="U37">
        <f ca="1"/>
        <v>44802</v>
      </c>
      <c r="V37">
        <f ca="1"/>
        <v>89.99</v>
      </c>
      <c r="W37">
        <f ca="1"/>
        <v>46324.554708333337</v>
      </c>
      <c r="X37" t="str">
        <f ca="1"/>
        <v>Low</v>
      </c>
      <c r="Z37" t="str">
        <f ca="1"/>
        <v>TRX0005</v>
      </c>
      <c r="AA37">
        <f ca="1"/>
        <v>45550</v>
      </c>
      <c r="AB37" t="str">
        <f ca="1"/>
        <v>CUST042</v>
      </c>
      <c r="AC37" t="str">
        <f ca="1"/>
        <v>Ruth Brooks</v>
      </c>
      <c r="AD37" t="str">
        <f ca="1"/>
        <v>P003</v>
      </c>
      <c r="AE37" t="str">
        <f ca="1"/>
        <v>Headphones</v>
      </c>
      <c r="AF37" t="str">
        <f ca="1"/>
        <v>Electronics</v>
      </c>
      <c r="AG37">
        <f ca="1"/>
        <v>4</v>
      </c>
      <c r="AH37">
        <f ca="1"/>
        <v>149.99</v>
      </c>
      <c r="AI37" t="str">
        <f ca="1"/>
        <v>Cash</v>
      </c>
      <c r="AJ37" t="str">
        <f ca="1"/>
        <v>North</v>
      </c>
      <c r="AK37" t="str">
        <f ca="1"/>
        <v>Basic</v>
      </c>
      <c r="AL37">
        <f ca="1"/>
        <v>44909</v>
      </c>
      <c r="AM37">
        <f ca="1"/>
        <v>599.96</v>
      </c>
      <c r="AN37">
        <f ca="1"/>
        <v>46324.554708333337</v>
      </c>
      <c r="AO37" t="str">
        <f ca="1"/>
        <v>Medium</v>
      </c>
      <c r="AQ37" t="str">
        <f ca="1"/>
        <v>TRX0038</v>
      </c>
      <c r="AR37">
        <f ca="1"/>
        <v>45726</v>
      </c>
      <c r="AS37" t="str">
        <f ca="1"/>
        <v>CUST035</v>
      </c>
      <c r="AT37" t="str">
        <f ca="1"/>
        <v>Harry Morgan</v>
      </c>
      <c r="AU37" t="str">
        <f ca="1"/>
        <v>P009</v>
      </c>
      <c r="AV37" t="str">
        <f ca="1"/>
        <v>Monitor</v>
      </c>
      <c r="AW37" t="str">
        <f ca="1"/>
        <v>Electronics</v>
      </c>
      <c r="AX37">
        <f ca="1"/>
        <v>1</v>
      </c>
      <c r="AY37">
        <f ca="1"/>
        <v>249.99</v>
      </c>
      <c r="AZ37" t="str">
        <f ca="1"/>
        <v>Cash</v>
      </c>
      <c r="BA37" t="str">
        <f ca="1"/>
        <v>North</v>
      </c>
      <c r="BB37" t="str">
        <f ca="1"/>
        <v>Standard</v>
      </c>
      <c r="BC37">
        <f ca="1"/>
        <v>45117</v>
      </c>
      <c r="BD37">
        <f ca="1"/>
        <v>249.99</v>
      </c>
      <c r="BE37">
        <f ca="1"/>
        <v>46324.554708333337</v>
      </c>
      <c r="BF37" t="str">
        <f ca="1"/>
        <v>Low</v>
      </c>
      <c r="BH37" t="str">
        <f ca="1"/>
        <v>TRX0006</v>
      </c>
      <c r="BI37">
        <f ca="1"/>
        <v>45498</v>
      </c>
      <c r="BJ37" t="str">
        <f ca="1"/>
        <v>CUST007</v>
      </c>
      <c r="BK37" t="str">
        <f ca="1"/>
        <v>David Martinez</v>
      </c>
      <c r="BL37" t="str">
        <f ca="1"/>
        <v>P005</v>
      </c>
      <c r="BM37" t="str">
        <f ca="1"/>
        <v>Blender</v>
      </c>
      <c r="BN37" t="str">
        <f ca="1"/>
        <v>Appliances</v>
      </c>
      <c r="BO37">
        <f ca="1"/>
        <v>2</v>
      </c>
      <c r="BP37">
        <f ca="1"/>
        <v>59.99</v>
      </c>
      <c r="BQ37" t="str">
        <f ca="1"/>
        <v>Cash</v>
      </c>
      <c r="BR37" t="str">
        <f ca="1"/>
        <v>North</v>
      </c>
      <c r="BS37" t="str">
        <f ca="1"/>
        <v>Standard</v>
      </c>
      <c r="BT37">
        <f ca="1"/>
        <v>45152</v>
      </c>
      <c r="BU37">
        <f ca="1"/>
        <v>119.98</v>
      </c>
      <c r="BV37">
        <f ca="1"/>
        <v>46324.554708333337</v>
      </c>
      <c r="BW37" t="str">
        <f ca="1"/>
        <v>Low</v>
      </c>
    </row>
    <row r="38" spans="1:75">
      <c r="A38" t="str">
        <f>'Raw Data'!D32</f>
        <v>Charles Allen</v>
      </c>
      <c r="B38" s="1">
        <f>'Raw Data'!M32</f>
        <v>44412</v>
      </c>
      <c r="C38">
        <f t="shared" ca="1" si="0"/>
        <v>5</v>
      </c>
      <c r="D38">
        <f t="shared" ca="1" si="1"/>
        <v>62</v>
      </c>
      <c r="E38" s="1">
        <f t="shared" si="2"/>
        <v>44439</v>
      </c>
      <c r="I38" t="str">
        <f ca="1"/>
        <v>TRX0052</v>
      </c>
      <c r="J38">
        <f ca="1"/>
        <v>45476</v>
      </c>
      <c r="K38" t="str">
        <f ca="1"/>
        <v>CUST022</v>
      </c>
      <c r="L38" t="str">
        <f ca="1"/>
        <v>Susan Green</v>
      </c>
      <c r="M38" t="str">
        <f ca="1"/>
        <v>P010</v>
      </c>
      <c r="N38" t="str">
        <f ca="1"/>
        <v>Keyboard</v>
      </c>
      <c r="O38" t="str">
        <f ca="1"/>
        <v>Electronics</v>
      </c>
      <c r="P38">
        <f ca="1"/>
        <v>1</v>
      </c>
      <c r="Q38">
        <f ca="1"/>
        <v>89.99</v>
      </c>
      <c r="R38" t="str">
        <f ca="1"/>
        <v>Cash</v>
      </c>
      <c r="S38" t="str">
        <f ca="1"/>
        <v>South</v>
      </c>
      <c r="T38" t="str">
        <f ca="1"/>
        <v>Standard</v>
      </c>
      <c r="U38">
        <f ca="1"/>
        <v>44611</v>
      </c>
      <c r="V38">
        <f ca="1"/>
        <v>89.99</v>
      </c>
      <c r="W38">
        <f ca="1"/>
        <v>46324.554708333337</v>
      </c>
      <c r="X38" t="str">
        <f ca="1"/>
        <v>Low</v>
      </c>
      <c r="Z38" t="str">
        <f ca="1"/>
        <v>TRX0177</v>
      </c>
      <c r="AA38">
        <f ca="1"/>
        <v>45559</v>
      </c>
      <c r="AB38" t="str">
        <f ca="1"/>
        <v>CUST032</v>
      </c>
      <c r="AC38" t="str">
        <f ca="1"/>
        <v>Sandra Phillips</v>
      </c>
      <c r="AD38" t="str">
        <f ca="1"/>
        <v>P001</v>
      </c>
      <c r="AE38" t="str">
        <f ca="1"/>
        <v>Laptop</v>
      </c>
      <c r="AF38" t="str">
        <f ca="1"/>
        <v>Electronics</v>
      </c>
      <c r="AG38">
        <f ca="1"/>
        <v>3</v>
      </c>
      <c r="AH38">
        <f ca="1"/>
        <v>899.99</v>
      </c>
      <c r="AI38" t="str">
        <f ca="1"/>
        <v>Credit Card</v>
      </c>
      <c r="AJ38" t="str">
        <f ca="1"/>
        <v>North</v>
      </c>
      <c r="AK38" t="str">
        <f ca="1"/>
        <v>Standard</v>
      </c>
      <c r="AL38">
        <f ca="1"/>
        <v>45157</v>
      </c>
      <c r="AM38">
        <f ca="1"/>
        <v>2699.97</v>
      </c>
      <c r="AN38">
        <f ca="1"/>
        <v>46324.554708333337</v>
      </c>
      <c r="AO38" t="str">
        <f ca="1"/>
        <v>High</v>
      </c>
      <c r="AQ38" t="str">
        <f ca="1"/>
        <v>TRX0124</v>
      </c>
      <c r="AR38">
        <f ca="1"/>
        <v>45737</v>
      </c>
      <c r="AS38" t="str">
        <f ca="1"/>
        <v>CUST040</v>
      </c>
      <c r="AT38" t="str">
        <f ca="1"/>
        <v>Sharon Butler</v>
      </c>
      <c r="AU38" t="str">
        <f ca="1"/>
        <v>P001</v>
      </c>
      <c r="AV38" t="str">
        <f ca="1"/>
        <v>Laptop</v>
      </c>
      <c r="AW38" t="str">
        <f ca="1"/>
        <v>Electronics</v>
      </c>
      <c r="AX38">
        <f ca="1"/>
        <v>3</v>
      </c>
      <c r="AY38">
        <f ca="1"/>
        <v>899.99</v>
      </c>
      <c r="AZ38" t="str">
        <f ca="1"/>
        <v>Debit Card</v>
      </c>
      <c r="BA38" t="str">
        <f ca="1"/>
        <v>North</v>
      </c>
      <c r="BB38" t="str">
        <f ca="1"/>
        <v>Premium</v>
      </c>
      <c r="BC38">
        <f ca="1"/>
        <v>44876</v>
      </c>
      <c r="BD38">
        <f ca="1"/>
        <v>2699.97</v>
      </c>
      <c r="BE38">
        <f ca="1"/>
        <v>46324.554708333337</v>
      </c>
      <c r="BF38" t="str">
        <f ca="1"/>
        <v>High</v>
      </c>
      <c r="BH38" t="str">
        <f ca="1"/>
        <v>TRX0080</v>
      </c>
      <c r="BI38">
        <f ca="1"/>
        <v>45500</v>
      </c>
      <c r="BJ38" t="str">
        <f ca="1"/>
        <v>CUST018</v>
      </c>
      <c r="BK38" t="str">
        <f ca="1"/>
        <v>Barbara Young</v>
      </c>
      <c r="BL38" t="str">
        <f ca="1"/>
        <v>P009</v>
      </c>
      <c r="BM38" t="str">
        <f ca="1"/>
        <v>Monitor</v>
      </c>
      <c r="BN38" t="str">
        <f ca="1"/>
        <v>Electronics</v>
      </c>
      <c r="BO38">
        <f ca="1"/>
        <v>2</v>
      </c>
      <c r="BP38">
        <f ca="1"/>
        <v>249.99</v>
      </c>
      <c r="BQ38" t="str">
        <f ca="1"/>
        <v>Cash</v>
      </c>
      <c r="BR38" t="str">
        <f ca="1"/>
        <v>North</v>
      </c>
      <c r="BS38" t="str">
        <f ca="1"/>
        <v>Premium</v>
      </c>
      <c r="BT38">
        <f ca="1"/>
        <v>45164</v>
      </c>
      <c r="BU38">
        <f ca="1"/>
        <v>499.98</v>
      </c>
      <c r="BV38">
        <f ca="1"/>
        <v>46324.554708333337</v>
      </c>
      <c r="BW38" t="str">
        <f ca="1"/>
        <v>Low</v>
      </c>
    </row>
    <row r="39" spans="1:75">
      <c r="A39" t="str">
        <f>'Raw Data'!D33</f>
        <v>Lisa Anderson</v>
      </c>
      <c r="B39" s="1">
        <f>'Raw Data'!M33</f>
        <v>44823</v>
      </c>
      <c r="C39">
        <f t="shared" ca="1" si="0"/>
        <v>4</v>
      </c>
      <c r="D39">
        <f t="shared" ca="1" si="1"/>
        <v>49</v>
      </c>
      <c r="E39" s="1">
        <f t="shared" si="2"/>
        <v>44834</v>
      </c>
      <c r="I39" t="str">
        <f ca="1"/>
        <v>TRX0113</v>
      </c>
      <c r="J39">
        <f ca="1"/>
        <v>45481</v>
      </c>
      <c r="K39" t="str">
        <f ca="1"/>
        <v>CUST003</v>
      </c>
      <c r="L39" t="str">
        <f ca="1"/>
        <v>Michael Brown</v>
      </c>
      <c r="M39" t="str">
        <f ca="1"/>
        <v>P002</v>
      </c>
      <c r="N39" t="str">
        <f ca="1"/>
        <v>Smartphone</v>
      </c>
      <c r="O39" t="str">
        <f ca="1"/>
        <v>Electronics</v>
      </c>
      <c r="P39">
        <f ca="1"/>
        <v>2</v>
      </c>
      <c r="Q39">
        <f ca="1"/>
        <v>699.99</v>
      </c>
      <c r="R39" t="str">
        <f ca="1"/>
        <v>PayPal</v>
      </c>
      <c r="S39" t="str">
        <f ca="1"/>
        <v>East</v>
      </c>
      <c r="T39" t="str">
        <f ca="1"/>
        <v>Premium</v>
      </c>
      <c r="U39">
        <f ca="1"/>
        <v>45389</v>
      </c>
      <c r="V39">
        <f ca="1"/>
        <v>1399.98</v>
      </c>
      <c r="W39">
        <f ca="1"/>
        <v>46324.554708333337</v>
      </c>
      <c r="X39" t="str">
        <f ca="1"/>
        <v>High</v>
      </c>
      <c r="Z39" t="str">
        <f ca="1"/>
        <v>TRX0203</v>
      </c>
      <c r="AA39">
        <f ca="1"/>
        <v>45572</v>
      </c>
      <c r="AB39" t="str">
        <f ca="1"/>
        <v>CUST032</v>
      </c>
      <c r="AC39" t="str">
        <f ca="1"/>
        <v>Sandra Phillips</v>
      </c>
      <c r="AD39" t="str">
        <f ca="1"/>
        <v>P003</v>
      </c>
      <c r="AE39" t="str">
        <f ca="1"/>
        <v>Headphones</v>
      </c>
      <c r="AF39" t="str">
        <f ca="1"/>
        <v>Electronics</v>
      </c>
      <c r="AG39">
        <f ca="1"/>
        <v>4</v>
      </c>
      <c r="AH39">
        <f ca="1"/>
        <v>149.99</v>
      </c>
      <c r="AI39" t="str">
        <f ca="1"/>
        <v>Credit Card</v>
      </c>
      <c r="AJ39" t="str">
        <f ca="1"/>
        <v>North</v>
      </c>
      <c r="AK39" t="str">
        <f ca="1"/>
        <v>Premium</v>
      </c>
      <c r="AL39">
        <f ca="1"/>
        <v>45076</v>
      </c>
      <c r="AM39">
        <f ca="1"/>
        <v>599.96</v>
      </c>
      <c r="AN39">
        <f ca="1"/>
        <v>46324.554708333337</v>
      </c>
      <c r="AO39" t="str">
        <f ca="1"/>
        <v>Medium</v>
      </c>
      <c r="AQ39" t="str">
        <f ca="1"/>
        <v>TRX0013</v>
      </c>
      <c r="AR39">
        <f ca="1"/>
        <v>45737</v>
      </c>
      <c r="AS39" t="str">
        <f ca="1"/>
        <v>CUST024</v>
      </c>
      <c r="AT39" t="str">
        <f ca="1"/>
        <v>Dorothy Nelson</v>
      </c>
      <c r="AU39" t="str">
        <f ca="1"/>
        <v>P001</v>
      </c>
      <c r="AV39" t="str">
        <f ca="1"/>
        <v>Laptop</v>
      </c>
      <c r="AW39" t="str">
        <f ca="1"/>
        <v>Electronics</v>
      </c>
      <c r="AX39">
        <f ca="1"/>
        <v>3</v>
      </c>
      <c r="AY39">
        <f ca="1"/>
        <v>899.99</v>
      </c>
      <c r="AZ39" t="str">
        <f ca="1"/>
        <v>PayPal</v>
      </c>
      <c r="BA39" t="str">
        <f ca="1"/>
        <v>North</v>
      </c>
      <c r="BB39" t="str">
        <f ca="1"/>
        <v>Basic</v>
      </c>
      <c r="BC39">
        <f ca="1"/>
        <v>44975</v>
      </c>
      <c r="BD39">
        <f ca="1"/>
        <v>2699.97</v>
      </c>
      <c r="BE39">
        <f ca="1"/>
        <v>46324.554708333337</v>
      </c>
      <c r="BF39" t="str">
        <f ca="1"/>
        <v>High</v>
      </c>
      <c r="BH39" t="str">
        <f ca="1"/>
        <v>TRX0228</v>
      </c>
      <c r="BI39">
        <f ca="1"/>
        <v>45500</v>
      </c>
      <c r="BJ39" t="str">
        <f ca="1"/>
        <v>CUST019</v>
      </c>
      <c r="BK39" t="str">
        <f ca="1"/>
        <v>Daniel King</v>
      </c>
      <c r="BL39" t="str">
        <f ca="1"/>
        <v>P007</v>
      </c>
      <c r="BM39" t="str">
        <f ca="1"/>
        <v>Desk</v>
      </c>
      <c r="BN39" t="str">
        <f ca="1"/>
        <v>Furniture</v>
      </c>
      <c r="BO39">
        <f ca="1"/>
        <v>1</v>
      </c>
      <c r="BP39">
        <f ca="1"/>
        <v>299.99</v>
      </c>
      <c r="BQ39" t="str">
        <f ca="1"/>
        <v>Cash</v>
      </c>
      <c r="BR39" t="str">
        <f ca="1"/>
        <v>South</v>
      </c>
      <c r="BS39" t="str">
        <f ca="1"/>
        <v>Basic</v>
      </c>
      <c r="BT39">
        <f ca="1"/>
        <v>44982</v>
      </c>
      <c r="BU39">
        <f ca="1"/>
        <v>299.99</v>
      </c>
      <c r="BV39">
        <f ca="1"/>
        <v>46324.554708333337</v>
      </c>
      <c r="BW39" t="str">
        <f ca="1"/>
        <v>Low</v>
      </c>
    </row>
    <row r="40" spans="1:75">
      <c r="A40" t="str">
        <f>'Raw Data'!D34</f>
        <v>Emma Wilson</v>
      </c>
      <c r="B40" s="1">
        <f>'Raw Data'!M34</f>
        <v>45068</v>
      </c>
      <c r="C40">
        <f t="shared" ca="1" si="0"/>
        <v>3</v>
      </c>
      <c r="D40">
        <f t="shared" ca="1" si="1"/>
        <v>41</v>
      </c>
      <c r="E40" s="1">
        <f t="shared" si="2"/>
        <v>45077</v>
      </c>
      <c r="I40" t="str">
        <f ca="1"/>
        <v>TRX0114</v>
      </c>
      <c r="J40">
        <f ca="1"/>
        <v>45481</v>
      </c>
      <c r="K40" t="str">
        <f ca="1"/>
        <v>CUST018</v>
      </c>
      <c r="L40" t="str">
        <f ca="1"/>
        <v>Barbara Young</v>
      </c>
      <c r="M40" t="str">
        <f ca="1"/>
        <v>P010</v>
      </c>
      <c r="N40" t="str">
        <f ca="1"/>
        <v>Keyboard</v>
      </c>
      <c r="O40" t="str">
        <f ca="1"/>
        <v>Electronics</v>
      </c>
      <c r="P40">
        <f ca="1"/>
        <v>5</v>
      </c>
      <c r="Q40">
        <f ca="1"/>
        <v>89.99</v>
      </c>
      <c r="R40" t="str">
        <f ca="1"/>
        <v>Debit Card</v>
      </c>
      <c r="S40" t="str">
        <f ca="1"/>
        <v>North</v>
      </c>
      <c r="T40" t="str">
        <f ca="1"/>
        <v>Premium</v>
      </c>
      <c r="U40">
        <f ca="1"/>
        <v>45161</v>
      </c>
      <c r="V40">
        <f ca="1"/>
        <v>449.95</v>
      </c>
      <c r="W40">
        <f ca="1"/>
        <v>46324.554708333337</v>
      </c>
      <c r="X40" t="str">
        <f ca="1"/>
        <v>Low</v>
      </c>
      <c r="Z40" t="str">
        <f ca="1"/>
        <v>TRX0167</v>
      </c>
      <c r="AA40">
        <f ca="1"/>
        <v>45589</v>
      </c>
      <c r="AB40" t="str">
        <f ca="1"/>
        <v>CUST028</v>
      </c>
      <c r="AC40" t="str">
        <f ca="1"/>
        <v>Betty Campbell</v>
      </c>
      <c r="AD40" t="str">
        <f ca="1"/>
        <v>P002</v>
      </c>
      <c r="AE40" t="str">
        <f ca="1"/>
        <v>Smartphone</v>
      </c>
      <c r="AF40" t="str">
        <f ca="1"/>
        <v>Electronics</v>
      </c>
      <c r="AG40">
        <f ca="1"/>
        <v>5</v>
      </c>
      <c r="AH40">
        <f ca="1"/>
        <v>699.99</v>
      </c>
      <c r="AI40" t="str">
        <f ca="1"/>
        <v>Cash</v>
      </c>
      <c r="AJ40" t="str">
        <f ca="1"/>
        <v>North</v>
      </c>
      <c r="AK40" t="str">
        <f ca="1"/>
        <v>Premium</v>
      </c>
      <c r="AL40">
        <f ca="1"/>
        <v>44635</v>
      </c>
      <c r="AM40">
        <f ca="1"/>
        <v>3499.95</v>
      </c>
      <c r="AN40">
        <f ca="1"/>
        <v>46324.554708333337</v>
      </c>
      <c r="AO40" t="str">
        <f ca="1"/>
        <v>High</v>
      </c>
      <c r="AQ40" t="str">
        <f ca="1"/>
        <v>TRX0068</v>
      </c>
      <c r="AR40">
        <f ca="1"/>
        <v>45748</v>
      </c>
      <c r="AS40" t="str">
        <f ca="1"/>
        <v>CUST044</v>
      </c>
      <c r="AT40" t="str">
        <f ca="1"/>
        <v>Cynthia Price</v>
      </c>
      <c r="AU40" t="str">
        <f ca="1"/>
        <v>P002</v>
      </c>
      <c r="AV40" t="str">
        <f ca="1"/>
        <v>Smartphone</v>
      </c>
      <c r="AW40" t="str">
        <f ca="1"/>
        <v>Electronics</v>
      </c>
      <c r="AX40">
        <f ca="1"/>
        <v>2</v>
      </c>
      <c r="AY40">
        <f ca="1"/>
        <v>699.99</v>
      </c>
      <c r="AZ40" t="str">
        <f ca="1"/>
        <v>PayPal</v>
      </c>
      <c r="BA40" t="str">
        <f ca="1"/>
        <v>North</v>
      </c>
      <c r="BB40" t="str">
        <f ca="1"/>
        <v>Standard</v>
      </c>
      <c r="BC40">
        <f ca="1"/>
        <v>44618</v>
      </c>
      <c r="BD40">
        <f ca="1"/>
        <v>1399.98</v>
      </c>
      <c r="BE40">
        <f ca="1"/>
        <v>46324.554708333337</v>
      </c>
      <c r="BF40" t="str">
        <f ca="1"/>
        <v>High</v>
      </c>
      <c r="BH40" t="str">
        <f ca="1"/>
        <v>TRX0157</v>
      </c>
      <c r="BI40">
        <f ca="1"/>
        <v>45501</v>
      </c>
      <c r="BJ40" t="str">
        <f ca="1"/>
        <v>CUST025</v>
      </c>
      <c r="BK40" t="str">
        <f ca="1"/>
        <v>Mark Carter</v>
      </c>
      <c r="BL40" t="str">
        <f ca="1"/>
        <v>P010</v>
      </c>
      <c r="BM40" t="str">
        <f ca="1"/>
        <v>Keyboard</v>
      </c>
      <c r="BN40" t="str">
        <f ca="1"/>
        <v>Electronics</v>
      </c>
      <c r="BO40">
        <f ca="1"/>
        <v>2</v>
      </c>
      <c r="BP40">
        <f ca="1"/>
        <v>89.99</v>
      </c>
      <c r="BQ40" t="str">
        <f ca="1"/>
        <v>PayPal</v>
      </c>
      <c r="BR40" t="str">
        <f ca="1"/>
        <v>South</v>
      </c>
      <c r="BS40" t="str">
        <f ca="1"/>
        <v>Basic</v>
      </c>
      <c r="BT40">
        <f ca="1"/>
        <v>44976</v>
      </c>
      <c r="BU40">
        <f ca="1"/>
        <v>179.98</v>
      </c>
      <c r="BV40">
        <f ca="1"/>
        <v>46324.554708333337</v>
      </c>
      <c r="BW40" t="str">
        <f ca="1"/>
        <v>Low</v>
      </c>
    </row>
    <row r="41" spans="1:75">
      <c r="A41" t="str">
        <f>'Raw Data'!D35</f>
        <v>Kevin Scott</v>
      </c>
      <c r="B41" s="1">
        <f>'Raw Data'!M35</f>
        <v>44578</v>
      </c>
      <c r="C41">
        <f t="shared" ca="1" si="0"/>
        <v>4</v>
      </c>
      <c r="D41">
        <f t="shared" ca="1" si="1"/>
        <v>57</v>
      </c>
      <c r="E41" s="1">
        <f t="shared" si="2"/>
        <v>44592</v>
      </c>
      <c r="I41" t="str">
        <f ca="1"/>
        <v>TRX0018</v>
      </c>
      <c r="J41">
        <f ca="1"/>
        <v>45484</v>
      </c>
      <c r="K41" t="str">
        <f ca="1"/>
        <v>CUST013</v>
      </c>
      <c r="L41" t="str">
        <f ca="1"/>
        <v>Joseph Jackson</v>
      </c>
      <c r="M41" t="str">
        <f ca="1"/>
        <v>P003</v>
      </c>
      <c r="N41" t="str">
        <f ca="1"/>
        <v>Headphones</v>
      </c>
      <c r="O41" t="str">
        <f ca="1"/>
        <v>Electronics</v>
      </c>
      <c r="P41">
        <f ca="1"/>
        <v>1</v>
      </c>
      <c r="Q41">
        <f ca="1"/>
        <v>149.99</v>
      </c>
      <c r="R41" t="str">
        <f ca="1"/>
        <v>Cash</v>
      </c>
      <c r="S41" t="str">
        <f ca="1"/>
        <v>Central</v>
      </c>
      <c r="T41" t="str">
        <f ca="1"/>
        <v>Standard</v>
      </c>
      <c r="U41">
        <f ca="1"/>
        <v>44909</v>
      </c>
      <c r="V41">
        <f ca="1"/>
        <v>149.99</v>
      </c>
      <c r="W41">
        <f ca="1"/>
        <v>46324.554708333337</v>
      </c>
      <c r="X41" t="str">
        <f ca="1"/>
        <v>Low</v>
      </c>
      <c r="Z41" t="str">
        <f ca="1"/>
        <v>TRX0153</v>
      </c>
      <c r="AA41">
        <f ca="1"/>
        <v>45592</v>
      </c>
      <c r="AB41" t="str">
        <f ca="1"/>
        <v>CUST049</v>
      </c>
      <c r="AC41" t="str">
        <f ca="1"/>
        <v>Raymond Ross</v>
      </c>
      <c r="AD41" t="str">
        <f ca="1"/>
        <v>P010</v>
      </c>
      <c r="AE41" t="str">
        <f ca="1"/>
        <v>Keyboard</v>
      </c>
      <c r="AF41" t="str">
        <f ca="1"/>
        <v>Electronics</v>
      </c>
      <c r="AG41">
        <f ca="1"/>
        <v>3</v>
      </c>
      <c r="AH41">
        <f ca="1"/>
        <v>89.99</v>
      </c>
      <c r="AI41" t="str">
        <f ca="1"/>
        <v>Credit Card</v>
      </c>
      <c r="AJ41" t="str">
        <f ca="1"/>
        <v>North</v>
      </c>
      <c r="AK41" t="str">
        <f ca="1"/>
        <v>Standard</v>
      </c>
      <c r="AL41">
        <f ca="1"/>
        <v>44615</v>
      </c>
      <c r="AM41">
        <f ca="1"/>
        <v>269.97000000000003</v>
      </c>
      <c r="AN41">
        <f ca="1"/>
        <v>46324.554708333337</v>
      </c>
      <c r="AO41" t="str">
        <f ca="1"/>
        <v>Low</v>
      </c>
      <c r="AQ41" t="str">
        <f ca="1"/>
        <v>TRX0120</v>
      </c>
      <c r="AR41">
        <f ca="1"/>
        <v>45758</v>
      </c>
      <c r="AS41" t="str">
        <f ca="1"/>
        <v>CUST045</v>
      </c>
      <c r="AT41" t="str">
        <f ca="1"/>
        <v>Douglas Watson</v>
      </c>
      <c r="AU41" t="str">
        <f ca="1"/>
        <v>P002</v>
      </c>
      <c r="AV41" t="str">
        <f ca="1"/>
        <v>Smartphone</v>
      </c>
      <c r="AW41" t="str">
        <f ca="1"/>
        <v>Electronics</v>
      </c>
      <c r="AX41">
        <f ca="1"/>
        <v>3</v>
      </c>
      <c r="AY41">
        <f ca="1"/>
        <v>699.99</v>
      </c>
      <c r="AZ41" t="str">
        <f ca="1"/>
        <v>PayPal</v>
      </c>
      <c r="BA41" t="str">
        <f ca="1"/>
        <v>North</v>
      </c>
      <c r="BB41" t="str">
        <f ca="1"/>
        <v>Basic</v>
      </c>
      <c r="BC41">
        <f ca="1"/>
        <v>44909</v>
      </c>
      <c r="BD41">
        <f ca="1"/>
        <v>2099.9699999999998</v>
      </c>
      <c r="BE41">
        <f ca="1"/>
        <v>46324.554708333337</v>
      </c>
      <c r="BF41" t="str">
        <f ca="1"/>
        <v>High</v>
      </c>
      <c r="BH41" t="str">
        <f ca="1"/>
        <v>TRX0217</v>
      </c>
      <c r="BI41">
        <f ca="1"/>
        <v>45503</v>
      </c>
      <c r="BJ41" t="str">
        <f ca="1"/>
        <v>CUST025</v>
      </c>
      <c r="BK41" t="str">
        <f ca="1"/>
        <v>Mark Carter</v>
      </c>
      <c r="BL41" t="str">
        <f ca="1"/>
        <v>P002</v>
      </c>
      <c r="BM41" t="str">
        <f ca="1"/>
        <v>Smartphone</v>
      </c>
      <c r="BN41" t="str">
        <f ca="1"/>
        <v>Electronics</v>
      </c>
      <c r="BO41">
        <f ca="1"/>
        <v>2</v>
      </c>
      <c r="BP41">
        <f ca="1"/>
        <v>699.99</v>
      </c>
      <c r="BQ41" t="str">
        <f ca="1"/>
        <v>Credit Card</v>
      </c>
      <c r="BR41" t="str">
        <f ca="1"/>
        <v>North</v>
      </c>
      <c r="BS41" t="str">
        <f ca="1"/>
        <v>Premium</v>
      </c>
      <c r="BT41">
        <f ca="1"/>
        <v>44999</v>
      </c>
      <c r="BU41">
        <f ca="1"/>
        <v>1399.98</v>
      </c>
      <c r="BV41">
        <f ca="1"/>
        <v>46324.554708333337</v>
      </c>
      <c r="BW41" t="str">
        <f ca="1"/>
        <v>High</v>
      </c>
    </row>
    <row r="42" spans="1:75">
      <c r="A42" t="str">
        <f>'Raw Data'!D36</f>
        <v>Patricia Moore</v>
      </c>
      <c r="B42" s="1">
        <f>'Raw Data'!M36</f>
        <v>44824</v>
      </c>
      <c r="C42">
        <f t="shared" ca="1" si="0"/>
        <v>4</v>
      </c>
      <c r="D42">
        <f t="shared" ca="1" si="1"/>
        <v>49</v>
      </c>
      <c r="E42" s="1">
        <f t="shared" si="2"/>
        <v>44834</v>
      </c>
      <c r="I42" t="str">
        <f ca="1"/>
        <v>TRX0162</v>
      </c>
      <c r="J42">
        <f ca="1"/>
        <v>45496</v>
      </c>
      <c r="K42" t="str">
        <f ca="1"/>
        <v>CUST040</v>
      </c>
      <c r="L42" t="str">
        <f ca="1"/>
        <v>Sharon Butler</v>
      </c>
      <c r="M42" t="str">
        <f ca="1"/>
        <v>P001</v>
      </c>
      <c r="N42" t="str">
        <f ca="1"/>
        <v>Laptop</v>
      </c>
      <c r="O42" t="str">
        <f ca="1"/>
        <v>Electronics</v>
      </c>
      <c r="P42">
        <f ca="1"/>
        <v>1</v>
      </c>
      <c r="Q42">
        <f ca="1"/>
        <v>899.99</v>
      </c>
      <c r="R42" t="str">
        <f ca="1"/>
        <v>Cash</v>
      </c>
      <c r="S42" t="str">
        <f ca="1"/>
        <v>Central</v>
      </c>
      <c r="T42" t="str">
        <f ca="1"/>
        <v>Standard</v>
      </c>
      <c r="U42">
        <f ca="1"/>
        <v>45179</v>
      </c>
      <c r="V42">
        <f ca="1"/>
        <v>899.99</v>
      </c>
      <c r="W42">
        <f ca="1"/>
        <v>46324.554708333337</v>
      </c>
      <c r="X42" t="str">
        <f ca="1"/>
        <v>Medium</v>
      </c>
      <c r="Z42" t="str">
        <f ca="1"/>
        <v>TRX0060</v>
      </c>
      <c r="AA42">
        <f ca="1"/>
        <v>45603</v>
      </c>
      <c r="AB42" t="str">
        <f ca="1"/>
        <v>CUST012</v>
      </c>
      <c r="AC42" t="str">
        <f ca="1"/>
        <v>Patricia Moore</v>
      </c>
      <c r="AD42" t="str">
        <f ca="1"/>
        <v>P010</v>
      </c>
      <c r="AE42" t="str">
        <f ca="1"/>
        <v>Keyboard</v>
      </c>
      <c r="AF42" t="str">
        <f ca="1"/>
        <v>Electronics</v>
      </c>
      <c r="AG42">
        <f ca="1"/>
        <v>3</v>
      </c>
      <c r="AH42">
        <f ca="1"/>
        <v>89.99</v>
      </c>
      <c r="AI42" t="str">
        <f ca="1"/>
        <v>Credit Card</v>
      </c>
      <c r="AJ42" t="str">
        <f ca="1"/>
        <v>North</v>
      </c>
      <c r="AK42" t="str">
        <f ca="1"/>
        <v>Premium</v>
      </c>
      <c r="AL42">
        <f ca="1"/>
        <v>44420</v>
      </c>
      <c r="AM42">
        <f ca="1"/>
        <v>269.97000000000003</v>
      </c>
      <c r="AN42">
        <f ca="1"/>
        <v>46324.554708333337</v>
      </c>
      <c r="AO42" t="str">
        <f ca="1"/>
        <v>Low</v>
      </c>
      <c r="AQ42" t="str">
        <f ca="1"/>
        <v>TRX0064</v>
      </c>
      <c r="AR42">
        <f ca="1"/>
        <v>45758</v>
      </c>
      <c r="AS42" t="str">
        <f ca="1"/>
        <v>CUST031</v>
      </c>
      <c r="AT42" t="str">
        <f ca="1"/>
        <v>Steven Turner</v>
      </c>
      <c r="AU42" t="str">
        <f ca="1"/>
        <v>P010</v>
      </c>
      <c r="AV42" t="str">
        <f ca="1"/>
        <v>Keyboard</v>
      </c>
      <c r="AW42" t="str">
        <f ca="1"/>
        <v>Electronics</v>
      </c>
      <c r="AX42">
        <f ca="1"/>
        <v>3</v>
      </c>
      <c r="AY42">
        <f ca="1"/>
        <v>89.99</v>
      </c>
      <c r="AZ42" t="str">
        <f ca="1"/>
        <v>Debit Card</v>
      </c>
      <c r="BA42" t="str">
        <f ca="1"/>
        <v>North</v>
      </c>
      <c r="BB42" t="str">
        <f ca="1"/>
        <v>Premium</v>
      </c>
      <c r="BC42">
        <f ca="1"/>
        <v>44878</v>
      </c>
      <c r="BD42">
        <f ca="1"/>
        <v>269.97000000000003</v>
      </c>
      <c r="BE42">
        <f ca="1"/>
        <v>46324.554708333337</v>
      </c>
      <c r="BF42" t="str">
        <f ca="1"/>
        <v>Low</v>
      </c>
      <c r="BH42" t="str">
        <f ca="1"/>
        <v>TRX0249</v>
      </c>
      <c r="BI42">
        <f ca="1"/>
        <v>45504</v>
      </c>
      <c r="BJ42" t="str">
        <f ca="1"/>
        <v>CUST030</v>
      </c>
      <c r="BK42" t="str">
        <f ca="1"/>
        <v>Helen Roberts</v>
      </c>
      <c r="BL42" t="str">
        <f ca="1"/>
        <v>P001</v>
      </c>
      <c r="BM42" t="str">
        <f ca="1"/>
        <v>Laptop</v>
      </c>
      <c r="BN42" t="str">
        <f ca="1"/>
        <v>Electronics</v>
      </c>
      <c r="BO42">
        <f ca="1"/>
        <v>4</v>
      </c>
      <c r="BP42">
        <f ca="1"/>
        <v>899.99</v>
      </c>
      <c r="BQ42" t="str">
        <f ca="1"/>
        <v>Debit Card</v>
      </c>
      <c r="BR42" t="str">
        <f ca="1"/>
        <v>South</v>
      </c>
      <c r="BS42" t="str">
        <f ca="1"/>
        <v>Standard</v>
      </c>
      <c r="BT42">
        <f ca="1"/>
        <v>44523</v>
      </c>
      <c r="BU42">
        <f ca="1"/>
        <v>3599.96</v>
      </c>
      <c r="BV42">
        <f ca="1"/>
        <v>46324.554708333337</v>
      </c>
      <c r="BW42" t="str">
        <f ca="1"/>
        <v>High</v>
      </c>
    </row>
    <row r="43" spans="1:75">
      <c r="A43" t="str">
        <f>'Raw Data'!D37</f>
        <v>Lisa Anderson</v>
      </c>
      <c r="B43" s="1">
        <f>'Raw Data'!M37</f>
        <v>45046</v>
      </c>
      <c r="C43">
        <f t="shared" ca="1" si="0"/>
        <v>3</v>
      </c>
      <c r="D43">
        <f t="shared" ca="1" si="1"/>
        <v>41</v>
      </c>
      <c r="E43" s="1">
        <f t="shared" si="2"/>
        <v>45046</v>
      </c>
      <c r="I43" t="str">
        <f ca="1"/>
        <v>TRX0244</v>
      </c>
      <c r="J43">
        <f ca="1"/>
        <v>45497</v>
      </c>
      <c r="K43" t="str">
        <f ca="1"/>
        <v>CUST013</v>
      </c>
      <c r="L43" t="str">
        <f ca="1"/>
        <v>Joseph Jackson</v>
      </c>
      <c r="M43" t="str">
        <f ca="1"/>
        <v>P001</v>
      </c>
      <c r="N43" t="str">
        <f ca="1"/>
        <v>Laptop</v>
      </c>
      <c r="O43" t="str">
        <f ca="1"/>
        <v>Electronics</v>
      </c>
      <c r="P43">
        <f ca="1"/>
        <v>5</v>
      </c>
      <c r="Q43">
        <f ca="1"/>
        <v>899.99</v>
      </c>
      <c r="R43" t="str">
        <f ca="1"/>
        <v>Debit Card</v>
      </c>
      <c r="S43" t="str">
        <f ca="1"/>
        <v>South</v>
      </c>
      <c r="T43" t="str">
        <f ca="1"/>
        <v>Standard</v>
      </c>
      <c r="U43">
        <f ca="1"/>
        <v>44899</v>
      </c>
      <c r="V43">
        <f ca="1"/>
        <v>4499.95</v>
      </c>
      <c r="W43">
        <f ca="1"/>
        <v>46324.554708333337</v>
      </c>
      <c r="X43" t="str">
        <f ca="1"/>
        <v>High</v>
      </c>
      <c r="Z43" t="str">
        <f ca="1"/>
        <v>TRX0090</v>
      </c>
      <c r="AA43">
        <f ca="1"/>
        <v>45605</v>
      </c>
      <c r="AB43" t="str">
        <f ca="1"/>
        <v>CUST020</v>
      </c>
      <c r="AC43" t="str">
        <f ca="1"/>
        <v>Margaret Wright</v>
      </c>
      <c r="AD43" t="str">
        <f ca="1"/>
        <v>P009</v>
      </c>
      <c r="AE43" t="str">
        <f ca="1"/>
        <v>Monitor</v>
      </c>
      <c r="AF43" t="str">
        <f ca="1"/>
        <v>Electronics</v>
      </c>
      <c r="AG43">
        <f ca="1"/>
        <v>1</v>
      </c>
      <c r="AH43">
        <f ca="1"/>
        <v>249.99</v>
      </c>
      <c r="AI43" t="str">
        <f ca="1"/>
        <v>Credit Card</v>
      </c>
      <c r="AJ43" t="str">
        <f ca="1"/>
        <v>North</v>
      </c>
      <c r="AK43" t="str">
        <f ca="1"/>
        <v>Premium</v>
      </c>
      <c r="AL43">
        <f ca="1"/>
        <v>44828</v>
      </c>
      <c r="AM43">
        <f ca="1"/>
        <v>249.99</v>
      </c>
      <c r="AN43">
        <f ca="1"/>
        <v>46324.554708333337</v>
      </c>
      <c r="AO43" t="str">
        <f ca="1"/>
        <v>Low</v>
      </c>
      <c r="BH43" t="str">
        <f ca="1"/>
        <v>TRX0101</v>
      </c>
      <c r="BI43">
        <f ca="1"/>
        <v>45513</v>
      </c>
      <c r="BJ43" t="str">
        <f ca="1"/>
        <v>CUST010</v>
      </c>
      <c r="BK43" t="str">
        <f ca="1"/>
        <v>Maria Garcia</v>
      </c>
      <c r="BL43" t="str">
        <f ca="1"/>
        <v>P010</v>
      </c>
      <c r="BM43" t="str">
        <f ca="1"/>
        <v>Keyboard</v>
      </c>
      <c r="BN43" t="str">
        <f ca="1"/>
        <v>Electronics</v>
      </c>
      <c r="BO43">
        <f ca="1"/>
        <v>1</v>
      </c>
      <c r="BP43">
        <f ca="1"/>
        <v>89.99</v>
      </c>
      <c r="BQ43" t="str">
        <f ca="1"/>
        <v>Credit Card</v>
      </c>
      <c r="BR43" t="str">
        <f ca="1"/>
        <v>North</v>
      </c>
      <c r="BS43" t="str">
        <f ca="1"/>
        <v>Standard</v>
      </c>
      <c r="BT43">
        <f ca="1"/>
        <v>45393</v>
      </c>
      <c r="BU43">
        <f ca="1"/>
        <v>89.99</v>
      </c>
      <c r="BV43">
        <f ca="1"/>
        <v>46324.554708333337</v>
      </c>
      <c r="BW43" t="str">
        <f ca="1"/>
        <v>Low</v>
      </c>
    </row>
    <row r="44" spans="1:75">
      <c r="A44" t="str">
        <f>'Raw Data'!D38</f>
        <v>Steven Turner</v>
      </c>
      <c r="B44" s="1">
        <f>'Raw Data'!M38</f>
        <v>45292</v>
      </c>
      <c r="C44">
        <f t="shared" ca="1" si="0"/>
        <v>2</v>
      </c>
      <c r="D44">
        <f t="shared" ca="1" si="1"/>
        <v>33</v>
      </c>
      <c r="E44" s="1">
        <f t="shared" si="2"/>
        <v>45322</v>
      </c>
      <c r="I44" t="str">
        <f ca="1"/>
        <v>TRX0215</v>
      </c>
      <c r="J44">
        <f ca="1"/>
        <v>45498</v>
      </c>
      <c r="K44" t="str">
        <f ca="1"/>
        <v>CUST047</v>
      </c>
      <c r="L44" t="str">
        <f ca="1"/>
        <v>Gerald Murphy</v>
      </c>
      <c r="M44" t="str">
        <f ca="1"/>
        <v>P009</v>
      </c>
      <c r="N44" t="str">
        <f ca="1"/>
        <v>Monitor</v>
      </c>
      <c r="O44" t="str">
        <f ca="1"/>
        <v>Electronics</v>
      </c>
      <c r="P44">
        <f ca="1"/>
        <v>4</v>
      </c>
      <c r="Q44">
        <f ca="1"/>
        <v>249.99</v>
      </c>
      <c r="R44" t="str">
        <f ca="1"/>
        <v>Debit Card</v>
      </c>
      <c r="S44" t="str">
        <f ca="1"/>
        <v>Central</v>
      </c>
      <c r="T44" t="str">
        <f ca="1"/>
        <v>Standard</v>
      </c>
      <c r="U44">
        <f ca="1"/>
        <v>45127</v>
      </c>
      <c r="V44">
        <f ca="1"/>
        <v>999.96</v>
      </c>
      <c r="W44">
        <f ca="1"/>
        <v>46324.554708333337</v>
      </c>
      <c r="X44" t="str">
        <f ca="1"/>
        <v>Medium</v>
      </c>
      <c r="Z44" t="str">
        <f ca="1"/>
        <v>TRX0035</v>
      </c>
      <c r="AA44">
        <f ca="1"/>
        <v>45607</v>
      </c>
      <c r="AB44" t="str">
        <f ca="1"/>
        <v>CUST041</v>
      </c>
      <c r="AC44" t="str">
        <f ca="1"/>
        <v>Peter Richardson</v>
      </c>
      <c r="AD44" t="str">
        <f ca="1"/>
        <v>P003</v>
      </c>
      <c r="AE44" t="str">
        <f ca="1"/>
        <v>Headphones</v>
      </c>
      <c r="AF44" t="str">
        <f ca="1"/>
        <v>Electronics</v>
      </c>
      <c r="AG44">
        <f ca="1"/>
        <v>3</v>
      </c>
      <c r="AH44">
        <f ca="1"/>
        <v>149.99</v>
      </c>
      <c r="AI44" t="str">
        <f ca="1"/>
        <v>Cash</v>
      </c>
      <c r="AJ44" t="str">
        <f ca="1"/>
        <v>North</v>
      </c>
      <c r="AK44" t="str">
        <f ca="1"/>
        <v>Basic</v>
      </c>
      <c r="AL44">
        <f ca="1"/>
        <v>44769</v>
      </c>
      <c r="AM44">
        <f ca="1"/>
        <v>449.97</v>
      </c>
      <c r="AN44">
        <f ca="1"/>
        <v>46324.554708333337</v>
      </c>
      <c r="AO44" t="str">
        <f ca="1"/>
        <v>Low</v>
      </c>
      <c r="BH44" t="str">
        <f ca="1"/>
        <v>TRX0205</v>
      </c>
      <c r="BI44">
        <f ca="1"/>
        <v>45515</v>
      </c>
      <c r="BJ44" t="str">
        <f ca="1"/>
        <v>CUST025</v>
      </c>
      <c r="BK44" t="str">
        <f ca="1"/>
        <v>Mark Carter</v>
      </c>
      <c r="BL44" t="str">
        <f ca="1"/>
        <v>P007</v>
      </c>
      <c r="BM44" t="str">
        <f ca="1"/>
        <v>Desk</v>
      </c>
      <c r="BN44" t="str">
        <f ca="1"/>
        <v>Furniture</v>
      </c>
      <c r="BO44">
        <f ca="1"/>
        <v>5</v>
      </c>
      <c r="BP44">
        <f ca="1"/>
        <v>299.99</v>
      </c>
      <c r="BQ44" t="str">
        <f ca="1"/>
        <v>Credit Card</v>
      </c>
      <c r="BR44" t="str">
        <f ca="1"/>
        <v>North</v>
      </c>
      <c r="BS44" t="str">
        <f ca="1"/>
        <v>Basic</v>
      </c>
      <c r="BT44">
        <f ca="1"/>
        <v>44965</v>
      </c>
      <c r="BU44">
        <f ca="1"/>
        <v>1499.95</v>
      </c>
      <c r="BV44">
        <f ca="1"/>
        <v>46324.554708333337</v>
      </c>
      <c r="BW44" t="str">
        <f ca="1"/>
        <v>High</v>
      </c>
    </row>
    <row r="45" spans="1:75">
      <c r="A45" t="str">
        <f>'Raw Data'!D39</f>
        <v>Jennifer Taylor</v>
      </c>
      <c r="B45" s="1">
        <f>'Raw Data'!M39</f>
        <v>44407</v>
      </c>
      <c r="C45">
        <f t="shared" ca="1" si="0"/>
        <v>5</v>
      </c>
      <c r="D45">
        <f t="shared" ca="1" si="1"/>
        <v>62</v>
      </c>
      <c r="E45" s="1">
        <f t="shared" si="2"/>
        <v>44408</v>
      </c>
      <c r="I45" t="str">
        <f ca="1"/>
        <v>TRX0080</v>
      </c>
      <c r="J45">
        <f ca="1"/>
        <v>45500</v>
      </c>
      <c r="K45" t="str">
        <f ca="1"/>
        <v>CUST018</v>
      </c>
      <c r="L45" t="str">
        <f ca="1"/>
        <v>Barbara Young</v>
      </c>
      <c r="M45" t="str">
        <f ca="1"/>
        <v>P009</v>
      </c>
      <c r="N45" t="str">
        <f ca="1"/>
        <v>Monitor</v>
      </c>
      <c r="O45" t="str">
        <f ca="1"/>
        <v>Electronics</v>
      </c>
      <c r="P45">
        <f ca="1"/>
        <v>2</v>
      </c>
      <c r="Q45">
        <f ca="1"/>
        <v>249.99</v>
      </c>
      <c r="R45" t="str">
        <f ca="1"/>
        <v>Cash</v>
      </c>
      <c r="S45" t="str">
        <f ca="1"/>
        <v>North</v>
      </c>
      <c r="T45" t="str">
        <f ca="1"/>
        <v>Premium</v>
      </c>
      <c r="U45">
        <f ca="1"/>
        <v>45164</v>
      </c>
      <c r="V45">
        <f ca="1"/>
        <v>499.98</v>
      </c>
      <c r="W45">
        <f ca="1"/>
        <v>46324.554708333337</v>
      </c>
      <c r="X45" t="str">
        <f ca="1"/>
        <v>Low</v>
      </c>
      <c r="Z45" t="str">
        <f ca="1"/>
        <v>TRX0073</v>
      </c>
      <c r="AA45">
        <f ca="1"/>
        <v>45613</v>
      </c>
      <c r="AB45" t="str">
        <f ca="1"/>
        <v>CUST032</v>
      </c>
      <c r="AC45" t="str">
        <f ca="1"/>
        <v>Sandra Phillips</v>
      </c>
      <c r="AD45" t="str">
        <f ca="1"/>
        <v>P008</v>
      </c>
      <c r="AE45" t="str">
        <f ca="1"/>
        <v>Bookshelf</v>
      </c>
      <c r="AF45" t="str">
        <f ca="1"/>
        <v>Furniture</v>
      </c>
      <c r="AG45">
        <f ca="1"/>
        <v>5</v>
      </c>
      <c r="AH45">
        <f ca="1"/>
        <v>149.99</v>
      </c>
      <c r="AI45" t="str">
        <f ca="1"/>
        <v>Cash</v>
      </c>
      <c r="AJ45" t="str">
        <f ca="1"/>
        <v>North</v>
      </c>
      <c r="AK45" t="str">
        <f ca="1"/>
        <v>Basic</v>
      </c>
      <c r="AL45">
        <f ca="1"/>
        <v>44869</v>
      </c>
      <c r="AM45">
        <f ca="1"/>
        <v>749.95</v>
      </c>
      <c r="AN45">
        <f ca="1"/>
        <v>46324.554708333337</v>
      </c>
      <c r="AO45" t="str">
        <f ca="1"/>
        <v>Medium</v>
      </c>
      <c r="BH45" t="str">
        <f ca="1"/>
        <v>TRX0020</v>
      </c>
      <c r="BI45">
        <f ca="1"/>
        <v>45517</v>
      </c>
      <c r="BJ45" t="str">
        <f ca="1"/>
        <v>CUST007</v>
      </c>
      <c r="BK45" t="str">
        <f ca="1"/>
        <v>David Martinez</v>
      </c>
      <c r="BL45" t="str">
        <f ca="1"/>
        <v>P003</v>
      </c>
      <c r="BM45" t="str">
        <f ca="1"/>
        <v>Headphones</v>
      </c>
      <c r="BN45" t="str">
        <f ca="1"/>
        <v>Electronics</v>
      </c>
      <c r="BO45">
        <f ca="1"/>
        <v>4</v>
      </c>
      <c r="BP45">
        <f ca="1"/>
        <v>149.99</v>
      </c>
      <c r="BQ45" t="str">
        <f ca="1"/>
        <v>Debit Card</v>
      </c>
      <c r="BR45" t="str">
        <f ca="1"/>
        <v>South</v>
      </c>
      <c r="BS45" t="str">
        <f ca="1"/>
        <v>Premium</v>
      </c>
      <c r="BT45">
        <f ca="1"/>
        <v>44820</v>
      </c>
      <c r="BU45">
        <f ca="1"/>
        <v>599.96</v>
      </c>
      <c r="BV45">
        <f ca="1"/>
        <v>46324.554708333337</v>
      </c>
      <c r="BW45" t="str">
        <f ca="1"/>
        <v>Medium</v>
      </c>
    </row>
    <row r="46" spans="1:75">
      <c r="A46" t="str">
        <f>'Raw Data'!D40</f>
        <v>Harry Morgan</v>
      </c>
      <c r="B46" s="1">
        <f>'Raw Data'!M40</f>
        <v>45120</v>
      </c>
      <c r="C46">
        <f t="shared" ca="1" si="0"/>
        <v>3</v>
      </c>
      <c r="D46">
        <f t="shared" ca="1" si="1"/>
        <v>39</v>
      </c>
      <c r="E46" s="1">
        <f t="shared" si="2"/>
        <v>45138</v>
      </c>
      <c r="I46" t="str">
        <f ca="1"/>
        <v>TRX0157</v>
      </c>
      <c r="J46">
        <f ca="1"/>
        <v>45501</v>
      </c>
      <c r="K46" t="str">
        <f ca="1"/>
        <v>CUST025</v>
      </c>
      <c r="L46" t="str">
        <f ca="1"/>
        <v>Mark Carter</v>
      </c>
      <c r="M46" t="str">
        <f ca="1"/>
        <v>P010</v>
      </c>
      <c r="N46" t="str">
        <f ca="1"/>
        <v>Keyboard</v>
      </c>
      <c r="O46" t="str">
        <f ca="1"/>
        <v>Electronics</v>
      </c>
      <c r="P46">
        <f ca="1"/>
        <v>2</v>
      </c>
      <c r="Q46">
        <f ca="1"/>
        <v>89.99</v>
      </c>
      <c r="R46" t="str">
        <f ca="1"/>
        <v>PayPal</v>
      </c>
      <c r="S46" t="str">
        <f ca="1"/>
        <v>South</v>
      </c>
      <c r="T46" t="str">
        <f ca="1"/>
        <v>Basic</v>
      </c>
      <c r="U46">
        <f ca="1"/>
        <v>44976</v>
      </c>
      <c r="V46">
        <f ca="1"/>
        <v>179.98</v>
      </c>
      <c r="W46">
        <f ca="1"/>
        <v>46324.554708333337</v>
      </c>
      <c r="X46" t="str">
        <f ca="1"/>
        <v>Low</v>
      </c>
      <c r="Z46" t="str">
        <f ca="1"/>
        <v>TRX0012</v>
      </c>
      <c r="AA46">
        <f ca="1"/>
        <v>45622</v>
      </c>
      <c r="AB46" t="str">
        <f ca="1"/>
        <v>CUST045</v>
      </c>
      <c r="AC46" t="str">
        <f ca="1"/>
        <v>Douglas Watson</v>
      </c>
      <c r="AD46" t="str">
        <f ca="1"/>
        <v>P009</v>
      </c>
      <c r="AE46" t="str">
        <f ca="1"/>
        <v>Monitor</v>
      </c>
      <c r="AF46" t="str">
        <f ca="1"/>
        <v>Electronics</v>
      </c>
      <c r="AG46">
        <f ca="1"/>
        <v>5</v>
      </c>
      <c r="AH46">
        <f ca="1"/>
        <v>249.99</v>
      </c>
      <c r="AI46" t="str">
        <f ca="1"/>
        <v>Credit Card</v>
      </c>
      <c r="AJ46" t="str">
        <f ca="1"/>
        <v>North</v>
      </c>
      <c r="AK46" t="str">
        <f ca="1"/>
        <v>Basic</v>
      </c>
      <c r="AL46">
        <f ca="1"/>
        <v>44873</v>
      </c>
      <c r="AM46">
        <f ca="1"/>
        <v>1249.95</v>
      </c>
      <c r="AN46">
        <f ca="1"/>
        <v>46324.554708333337</v>
      </c>
      <c r="AO46" t="str">
        <f ca="1"/>
        <v>High</v>
      </c>
      <c r="BH46" t="str">
        <f ca="1"/>
        <v>TRX0098</v>
      </c>
      <c r="BI46">
        <f ca="1"/>
        <v>45517</v>
      </c>
      <c r="BJ46" t="str">
        <f ca="1"/>
        <v>CUST026</v>
      </c>
      <c r="BK46" t="str">
        <f ca="1"/>
        <v>Karen Hill</v>
      </c>
      <c r="BL46" t="str">
        <f ca="1"/>
        <v>P009</v>
      </c>
      <c r="BM46" t="str">
        <f ca="1"/>
        <v>Monitor</v>
      </c>
      <c r="BN46" t="str">
        <f ca="1"/>
        <v>Electronics</v>
      </c>
      <c r="BO46">
        <f ca="1"/>
        <v>3</v>
      </c>
      <c r="BP46">
        <f ca="1"/>
        <v>249.99</v>
      </c>
      <c r="BQ46" t="str">
        <f ca="1"/>
        <v>PayPal</v>
      </c>
      <c r="BR46" t="str">
        <f ca="1"/>
        <v>North</v>
      </c>
      <c r="BS46" t="str">
        <f ca="1"/>
        <v>Premium</v>
      </c>
      <c r="BT46">
        <f ca="1"/>
        <v>44465</v>
      </c>
      <c r="BU46">
        <f ca="1"/>
        <v>749.97</v>
      </c>
      <c r="BV46">
        <f ca="1"/>
        <v>46324.554708333337</v>
      </c>
      <c r="BW46" t="str">
        <f ca="1"/>
        <v>Medium</v>
      </c>
    </row>
    <row r="47" spans="1:75">
      <c r="A47" t="str">
        <f>'Raw Data'!D41</f>
        <v>Daniel King</v>
      </c>
      <c r="B47" s="1">
        <f>'Raw Data'!M41</f>
        <v>44917</v>
      </c>
      <c r="C47">
        <f t="shared" ca="1" si="0"/>
        <v>3</v>
      </c>
      <c r="D47">
        <f t="shared" ca="1" si="1"/>
        <v>46</v>
      </c>
      <c r="E47" s="1">
        <f t="shared" si="2"/>
        <v>44926</v>
      </c>
      <c r="I47" t="str">
        <f ca="1"/>
        <v>TRX0217</v>
      </c>
      <c r="J47">
        <f ca="1"/>
        <v>45503</v>
      </c>
      <c r="K47" t="str">
        <f ca="1"/>
        <v>CUST025</v>
      </c>
      <c r="L47" t="str">
        <f ca="1"/>
        <v>Mark Carter</v>
      </c>
      <c r="M47" t="str">
        <f ca="1"/>
        <v>P002</v>
      </c>
      <c r="N47" t="str">
        <f ca="1"/>
        <v>Smartphone</v>
      </c>
      <c r="O47" t="str">
        <f ca="1"/>
        <v>Electronics</v>
      </c>
      <c r="P47">
        <f ca="1"/>
        <v>2</v>
      </c>
      <c r="Q47">
        <f ca="1"/>
        <v>699.99</v>
      </c>
      <c r="R47" t="str">
        <f ca="1"/>
        <v>Credit Card</v>
      </c>
      <c r="S47" t="str">
        <f ca="1"/>
        <v>North</v>
      </c>
      <c r="T47" t="str">
        <f ca="1"/>
        <v>Premium</v>
      </c>
      <c r="U47">
        <f ca="1"/>
        <v>44999</v>
      </c>
      <c r="V47">
        <f ca="1"/>
        <v>1399.98</v>
      </c>
      <c r="W47">
        <f ca="1"/>
        <v>46324.554708333337</v>
      </c>
      <c r="X47" t="str">
        <f ca="1"/>
        <v>High</v>
      </c>
      <c r="Z47" t="str">
        <f ca="1"/>
        <v>TRX0066</v>
      </c>
      <c r="AA47">
        <f ca="1"/>
        <v>45630</v>
      </c>
      <c r="AB47" t="str">
        <f ca="1"/>
        <v>CUST024</v>
      </c>
      <c r="AC47" t="str">
        <f ca="1"/>
        <v>Dorothy Nelson</v>
      </c>
      <c r="AD47" t="str">
        <f ca="1"/>
        <v>P002</v>
      </c>
      <c r="AE47" t="str">
        <f ca="1"/>
        <v>Smartphone</v>
      </c>
      <c r="AF47" t="str">
        <f ca="1"/>
        <v>Electronics</v>
      </c>
      <c r="AG47">
        <f ca="1"/>
        <v>4</v>
      </c>
      <c r="AH47">
        <f ca="1"/>
        <v>699.99</v>
      </c>
      <c r="AI47" t="str">
        <f ca="1"/>
        <v>Credit Card</v>
      </c>
      <c r="AJ47" t="str">
        <f ca="1"/>
        <v>North</v>
      </c>
      <c r="AK47" t="str">
        <f ca="1"/>
        <v>Premium</v>
      </c>
      <c r="AL47">
        <f ca="1"/>
        <v>44703</v>
      </c>
      <c r="AM47">
        <f ca="1"/>
        <v>2799.96</v>
      </c>
      <c r="AN47">
        <f ca="1"/>
        <v>46324.554708333337</v>
      </c>
      <c r="AO47" t="str">
        <f ca="1"/>
        <v>High</v>
      </c>
      <c r="BH47" t="str">
        <f ca="1"/>
        <v>TRX0247</v>
      </c>
      <c r="BI47">
        <f ca="1"/>
        <v>45517</v>
      </c>
      <c r="BJ47" t="str">
        <f ca="1"/>
        <v>CUST046</v>
      </c>
      <c r="BK47" t="str">
        <f ca="1"/>
        <v>Kathleen Bennett</v>
      </c>
      <c r="BL47" t="str">
        <f ca="1"/>
        <v>P006</v>
      </c>
      <c r="BM47" t="str">
        <f ca="1"/>
        <v>Office Chair</v>
      </c>
      <c r="BN47" t="str">
        <f ca="1"/>
        <v>Furniture</v>
      </c>
      <c r="BO47">
        <f ca="1"/>
        <v>4</v>
      </c>
      <c r="BP47">
        <f ca="1"/>
        <v>199.99</v>
      </c>
      <c r="BQ47" t="str">
        <f ca="1"/>
        <v>Cash</v>
      </c>
      <c r="BR47" t="str">
        <f ca="1"/>
        <v>North</v>
      </c>
      <c r="BS47" t="str">
        <f ca="1"/>
        <v>Standard</v>
      </c>
      <c r="BT47">
        <f ca="1"/>
        <v>44458</v>
      </c>
      <c r="BU47">
        <f ca="1"/>
        <v>799.96</v>
      </c>
      <c r="BV47">
        <f ca="1"/>
        <v>46324.554708333337</v>
      </c>
      <c r="BW47" t="str">
        <f ca="1"/>
        <v>Medium</v>
      </c>
    </row>
    <row r="48" spans="1:75">
      <c r="A48" t="str">
        <f>'Raw Data'!D42</f>
        <v>Sharon Butler</v>
      </c>
      <c r="B48" s="1">
        <f>'Raw Data'!M42</f>
        <v>45390</v>
      </c>
      <c r="C48">
        <f t="shared" ca="1" si="0"/>
        <v>2</v>
      </c>
      <c r="D48">
        <f t="shared" ca="1" si="1"/>
        <v>30</v>
      </c>
      <c r="E48" s="1">
        <f t="shared" si="2"/>
        <v>45412</v>
      </c>
      <c r="I48" t="str">
        <f ca="1"/>
        <v>TRX0249</v>
      </c>
      <c r="J48">
        <f ca="1"/>
        <v>45504</v>
      </c>
      <c r="K48" t="str">
        <f ca="1"/>
        <v>CUST030</v>
      </c>
      <c r="L48" t="str">
        <f ca="1"/>
        <v>Helen Roberts</v>
      </c>
      <c r="M48" t="str">
        <f ca="1"/>
        <v>P001</v>
      </c>
      <c r="N48" t="str">
        <f ca="1"/>
        <v>Laptop</v>
      </c>
      <c r="O48" t="str">
        <f ca="1"/>
        <v>Electronics</v>
      </c>
      <c r="P48">
        <f ca="1"/>
        <v>4</v>
      </c>
      <c r="Q48">
        <f ca="1"/>
        <v>899.99</v>
      </c>
      <c r="R48" t="str">
        <f ca="1"/>
        <v>Debit Card</v>
      </c>
      <c r="S48" t="str">
        <f ca="1"/>
        <v>South</v>
      </c>
      <c r="T48" t="str">
        <f ca="1"/>
        <v>Standard</v>
      </c>
      <c r="U48">
        <f ca="1"/>
        <v>44523</v>
      </c>
      <c r="V48">
        <f ca="1"/>
        <v>3599.96</v>
      </c>
      <c r="W48">
        <f ca="1"/>
        <v>46324.554708333337</v>
      </c>
      <c r="X48" t="str">
        <f ca="1"/>
        <v>High</v>
      </c>
      <c r="Z48" t="str">
        <f ca="1"/>
        <v>TRX0032</v>
      </c>
      <c r="AA48">
        <f ca="1"/>
        <v>45638</v>
      </c>
      <c r="AB48" t="str">
        <f ca="1"/>
        <v>CUST041</v>
      </c>
      <c r="AC48" t="str">
        <f ca="1"/>
        <v>Peter Richardson</v>
      </c>
      <c r="AD48" t="str">
        <f ca="1"/>
        <v>P001</v>
      </c>
      <c r="AE48" t="str">
        <f ca="1"/>
        <v>Laptop</v>
      </c>
      <c r="AF48" t="str">
        <f ca="1"/>
        <v>Electronics</v>
      </c>
      <c r="AG48">
        <f ca="1"/>
        <v>2</v>
      </c>
      <c r="AH48">
        <f ca="1"/>
        <v>899.99</v>
      </c>
      <c r="AI48" t="str">
        <f ca="1"/>
        <v>Cash</v>
      </c>
      <c r="AJ48" t="str">
        <f ca="1"/>
        <v>North</v>
      </c>
      <c r="AK48" t="str">
        <f ca="1"/>
        <v>Basic</v>
      </c>
      <c r="AL48">
        <f ca="1"/>
        <v>44406</v>
      </c>
      <c r="AM48">
        <f ca="1"/>
        <v>1799.98</v>
      </c>
      <c r="AN48">
        <f ca="1"/>
        <v>46324.554708333337</v>
      </c>
      <c r="AO48" t="str">
        <f ca="1"/>
        <v>High</v>
      </c>
      <c r="BH48" t="str">
        <f ca="1"/>
        <v>TRX0027</v>
      </c>
      <c r="BI48">
        <f ca="1"/>
        <v>45519</v>
      </c>
      <c r="BJ48" t="str">
        <f ca="1"/>
        <v>CUST028</v>
      </c>
      <c r="BK48" t="str">
        <f ca="1"/>
        <v>Betty Campbell</v>
      </c>
      <c r="BL48" t="str">
        <f ca="1"/>
        <v>P006</v>
      </c>
      <c r="BM48" t="str">
        <f ca="1"/>
        <v>Office Chair</v>
      </c>
      <c r="BN48" t="str">
        <f ca="1"/>
        <v>Furniture</v>
      </c>
      <c r="BO48">
        <f ca="1"/>
        <v>5</v>
      </c>
      <c r="BP48">
        <f ca="1"/>
        <v>199.99</v>
      </c>
      <c r="BQ48" t="str">
        <f ca="1"/>
        <v>Cash</v>
      </c>
      <c r="BR48" t="str">
        <f ca="1"/>
        <v>North</v>
      </c>
      <c r="BS48" t="str">
        <f ca="1"/>
        <v>Premium</v>
      </c>
      <c r="BT48">
        <f ca="1"/>
        <v>44991</v>
      </c>
      <c r="BU48">
        <f ca="1"/>
        <v>999.95</v>
      </c>
      <c r="BV48">
        <f ca="1"/>
        <v>46324.554708333337</v>
      </c>
      <c r="BW48" t="str">
        <f ca="1"/>
        <v>Medium</v>
      </c>
    </row>
    <row r="49" spans="1:75">
      <c r="A49" t="str">
        <f>'Raw Data'!D43</f>
        <v>Charles Allen</v>
      </c>
      <c r="B49" s="1">
        <f>'Raw Data'!M43</f>
        <v>45141</v>
      </c>
      <c r="C49">
        <f t="shared" ca="1" si="0"/>
        <v>3</v>
      </c>
      <c r="D49">
        <f t="shared" ca="1" si="1"/>
        <v>38</v>
      </c>
      <c r="E49" s="1">
        <f t="shared" si="2"/>
        <v>45169</v>
      </c>
      <c r="I49" t="str">
        <f ca="1"/>
        <v>TRX0101</v>
      </c>
      <c r="J49">
        <f ca="1"/>
        <v>45513</v>
      </c>
      <c r="K49" t="str">
        <f ca="1"/>
        <v>CUST010</v>
      </c>
      <c r="L49" t="str">
        <f ca="1"/>
        <v>Maria Garcia</v>
      </c>
      <c r="M49" t="str">
        <f ca="1"/>
        <v>P010</v>
      </c>
      <c r="N49" t="str">
        <f ca="1"/>
        <v>Keyboard</v>
      </c>
      <c r="O49" t="str">
        <f ca="1"/>
        <v>Electronics</v>
      </c>
      <c r="P49">
        <f ca="1"/>
        <v>1</v>
      </c>
      <c r="Q49">
        <f ca="1"/>
        <v>89.99</v>
      </c>
      <c r="R49" t="str">
        <f ca="1"/>
        <v>Credit Card</v>
      </c>
      <c r="S49" t="str">
        <f ca="1"/>
        <v>North</v>
      </c>
      <c r="T49" t="str">
        <f ca="1"/>
        <v>Standard</v>
      </c>
      <c r="U49">
        <f ca="1"/>
        <v>45393</v>
      </c>
      <c r="V49">
        <f ca="1"/>
        <v>89.99</v>
      </c>
      <c r="W49">
        <f ca="1"/>
        <v>46324.554708333337</v>
      </c>
      <c r="X49" t="str">
        <f ca="1"/>
        <v>Low</v>
      </c>
      <c r="Z49" t="str">
        <f ca="1"/>
        <v>TRX0008</v>
      </c>
      <c r="AA49">
        <f ca="1"/>
        <v>45648</v>
      </c>
      <c r="AB49" t="str">
        <f ca="1"/>
        <v>CUST007</v>
      </c>
      <c r="AC49" t="str">
        <f ca="1"/>
        <v>David Martinez</v>
      </c>
      <c r="AD49" t="str">
        <f ca="1"/>
        <v>P008</v>
      </c>
      <c r="AE49" t="str">
        <f ca="1"/>
        <v>Bookshelf</v>
      </c>
      <c r="AF49" t="str">
        <f ca="1"/>
        <v>Furniture</v>
      </c>
      <c r="AG49">
        <f ca="1"/>
        <v>3</v>
      </c>
      <c r="AH49">
        <f ca="1"/>
        <v>149.99</v>
      </c>
      <c r="AI49" t="str">
        <f ca="1"/>
        <v>Debit Card</v>
      </c>
      <c r="AJ49" t="str">
        <f ca="1"/>
        <v>North</v>
      </c>
      <c r="AK49" t="str">
        <f ca="1"/>
        <v>Standard</v>
      </c>
      <c r="AL49">
        <f ca="1"/>
        <v>44522</v>
      </c>
      <c r="AM49">
        <f ca="1"/>
        <v>449.97</v>
      </c>
      <c r="AN49">
        <f ca="1"/>
        <v>46324.554708333337</v>
      </c>
      <c r="AO49" t="str">
        <f ca="1"/>
        <v>Low</v>
      </c>
      <c r="BH49" t="str">
        <f ca="1"/>
        <v>TRX0037</v>
      </c>
      <c r="BI49">
        <f ca="1"/>
        <v>45528</v>
      </c>
      <c r="BJ49" t="str">
        <f ca="1"/>
        <v>CUST035</v>
      </c>
      <c r="BK49" t="str">
        <f ca="1"/>
        <v>Harry Morgan</v>
      </c>
      <c r="BL49" t="str">
        <f ca="1"/>
        <v>P009</v>
      </c>
      <c r="BM49" t="str">
        <f ca="1"/>
        <v>Monitor</v>
      </c>
      <c r="BN49" t="str">
        <f ca="1"/>
        <v>Electronics</v>
      </c>
      <c r="BO49">
        <f ca="1"/>
        <v>2</v>
      </c>
      <c r="BP49">
        <f ca="1"/>
        <v>249.99</v>
      </c>
      <c r="BQ49" t="str">
        <f ca="1"/>
        <v>Cash</v>
      </c>
      <c r="BR49" t="str">
        <f ca="1"/>
        <v>South</v>
      </c>
      <c r="BS49" t="str">
        <f ca="1"/>
        <v>Standard</v>
      </c>
      <c r="BT49">
        <f ca="1"/>
        <v>44572</v>
      </c>
      <c r="BU49">
        <f ca="1"/>
        <v>499.98</v>
      </c>
      <c r="BV49">
        <f ca="1"/>
        <v>46324.554708333337</v>
      </c>
      <c r="BW49" t="str">
        <f ca="1"/>
        <v>Low</v>
      </c>
    </row>
    <row r="50" spans="1:75">
      <c r="A50" t="str">
        <f>'Raw Data'!D44</f>
        <v>Sarah Davis</v>
      </c>
      <c r="B50" s="1">
        <f>'Raw Data'!M44</f>
        <v>44587</v>
      </c>
      <c r="C50">
        <f t="shared" ca="1" si="0"/>
        <v>4</v>
      </c>
      <c r="D50">
        <f t="shared" ca="1" si="1"/>
        <v>57</v>
      </c>
      <c r="E50" s="1">
        <f t="shared" si="2"/>
        <v>44592</v>
      </c>
      <c r="I50" t="str">
        <f ca="1"/>
        <v>TRX0020</v>
      </c>
      <c r="J50">
        <f ca="1"/>
        <v>45517</v>
      </c>
      <c r="K50" t="str">
        <f ca="1"/>
        <v>CUST007</v>
      </c>
      <c r="L50" t="str">
        <f ca="1"/>
        <v>David Martinez</v>
      </c>
      <c r="M50" t="str">
        <f ca="1"/>
        <v>P003</v>
      </c>
      <c r="N50" t="str">
        <f ca="1"/>
        <v>Headphones</v>
      </c>
      <c r="O50" t="str">
        <f ca="1"/>
        <v>Electronics</v>
      </c>
      <c r="P50">
        <f ca="1"/>
        <v>4</v>
      </c>
      <c r="Q50">
        <f ca="1"/>
        <v>149.99</v>
      </c>
      <c r="R50" t="str">
        <f ca="1"/>
        <v>Debit Card</v>
      </c>
      <c r="S50" t="str">
        <f ca="1"/>
        <v>South</v>
      </c>
      <c r="T50" t="str">
        <f ca="1"/>
        <v>Premium</v>
      </c>
      <c r="U50">
        <f ca="1"/>
        <v>44820</v>
      </c>
      <c r="V50">
        <f ca="1"/>
        <v>599.96</v>
      </c>
      <c r="W50">
        <f ca="1"/>
        <v>46324.554708333337</v>
      </c>
      <c r="X50" t="str">
        <f ca="1"/>
        <v>Medium</v>
      </c>
      <c r="Z50" t="str">
        <f ca="1"/>
        <v>TRX0207</v>
      </c>
      <c r="AA50">
        <f ca="1"/>
        <v>45657</v>
      </c>
      <c r="AB50" t="str">
        <f ca="1"/>
        <v>CUST025</v>
      </c>
      <c r="AC50" t="str">
        <f ca="1"/>
        <v>Mark Carter</v>
      </c>
      <c r="AD50" t="str">
        <f ca="1"/>
        <v>P001</v>
      </c>
      <c r="AE50" t="str">
        <f ca="1"/>
        <v>Laptop</v>
      </c>
      <c r="AF50" t="str">
        <f ca="1"/>
        <v>Electronics</v>
      </c>
      <c r="AG50">
        <f ca="1"/>
        <v>1</v>
      </c>
      <c r="AH50">
        <f ca="1"/>
        <v>899.99</v>
      </c>
      <c r="AI50" t="str">
        <f ca="1"/>
        <v>PayPal</v>
      </c>
      <c r="AJ50" t="str">
        <f ca="1"/>
        <v>North</v>
      </c>
      <c r="AK50" t="str">
        <f ca="1"/>
        <v>Premium</v>
      </c>
      <c r="AL50">
        <f ca="1"/>
        <v>45050</v>
      </c>
      <c r="AM50">
        <f ca="1"/>
        <v>899.99</v>
      </c>
      <c r="AN50">
        <f ca="1"/>
        <v>46324.554708333337</v>
      </c>
      <c r="AO50" t="str">
        <f ca="1"/>
        <v>Medium</v>
      </c>
      <c r="BH50" t="str">
        <f ca="1"/>
        <v>TRX0248</v>
      </c>
      <c r="BI50">
        <f ca="1"/>
        <v>45534</v>
      </c>
      <c r="BJ50" t="str">
        <f ca="1"/>
        <v>CUST032</v>
      </c>
      <c r="BK50" t="str">
        <f ca="1"/>
        <v>Sandra Phillips</v>
      </c>
      <c r="BL50" t="str">
        <f ca="1"/>
        <v>P002</v>
      </c>
      <c r="BM50" t="str">
        <f ca="1"/>
        <v>Smartphone</v>
      </c>
      <c r="BN50" t="str">
        <f ca="1"/>
        <v>Electronics</v>
      </c>
      <c r="BO50">
        <f ca="1"/>
        <v>2</v>
      </c>
      <c r="BP50">
        <f ca="1"/>
        <v>699.99</v>
      </c>
      <c r="BQ50" t="str">
        <f ca="1"/>
        <v>Credit Card</v>
      </c>
      <c r="BR50" t="str">
        <f ca="1"/>
        <v>North</v>
      </c>
      <c r="BS50" t="str">
        <f ca="1"/>
        <v>Premium</v>
      </c>
      <c r="BT50">
        <f ca="1"/>
        <v>44421</v>
      </c>
      <c r="BU50">
        <f ca="1"/>
        <v>1399.98</v>
      </c>
      <c r="BV50">
        <f ca="1"/>
        <v>46324.554708333337</v>
      </c>
      <c r="BW50" t="str">
        <f ca="1"/>
        <v>High</v>
      </c>
    </row>
    <row r="51" spans="1:75">
      <c r="A51" t="str">
        <f>'Raw Data'!D45</f>
        <v>Joseph Jackson</v>
      </c>
      <c r="B51" s="1">
        <f>'Raw Data'!M45</f>
        <v>44707</v>
      </c>
      <c r="C51">
        <f t="shared" ca="1" si="0"/>
        <v>4</v>
      </c>
      <c r="D51">
        <f t="shared" ca="1" si="1"/>
        <v>53</v>
      </c>
      <c r="E51" s="1">
        <f t="shared" si="2"/>
        <v>44712</v>
      </c>
      <c r="I51" t="str">
        <f ca="1"/>
        <v>TRX0075</v>
      </c>
      <c r="J51">
        <f ca="1"/>
        <v>45517</v>
      </c>
      <c r="K51" t="str">
        <f ca="1"/>
        <v>CUST020</v>
      </c>
      <c r="L51" t="str">
        <f ca="1"/>
        <v>Margaret Wright</v>
      </c>
      <c r="M51" t="str">
        <f ca="1"/>
        <v>P009</v>
      </c>
      <c r="N51" t="str">
        <f ca="1"/>
        <v>Monitor</v>
      </c>
      <c r="O51" t="str">
        <f ca="1"/>
        <v>Electronics</v>
      </c>
      <c r="P51">
        <f ca="1"/>
        <v>5</v>
      </c>
      <c r="Q51">
        <f ca="1"/>
        <v>249.99</v>
      </c>
      <c r="R51" t="str">
        <f ca="1"/>
        <v>PayPal</v>
      </c>
      <c r="S51" t="str">
        <f ca="1"/>
        <v>East</v>
      </c>
      <c r="T51" t="str">
        <f ca="1"/>
        <v>Premium</v>
      </c>
      <c r="U51">
        <f ca="1"/>
        <v>44782</v>
      </c>
      <c r="V51">
        <f ca="1"/>
        <v>1249.95</v>
      </c>
      <c r="W51">
        <f ca="1"/>
        <v>46324.554708333337</v>
      </c>
      <c r="X51" t="str">
        <f ca="1"/>
        <v>High</v>
      </c>
      <c r="Z51" t="str">
        <f ca="1"/>
        <v>TRX0026</v>
      </c>
      <c r="AA51">
        <f ca="1"/>
        <v>45661</v>
      </c>
      <c r="AB51" t="str">
        <f ca="1"/>
        <v>CUST037</v>
      </c>
      <c r="AC51" t="str">
        <f ca="1"/>
        <v>Arthur Edwards</v>
      </c>
      <c r="AD51" t="str">
        <f ca="1"/>
        <v>P001</v>
      </c>
      <c r="AE51" t="str">
        <f ca="1"/>
        <v>Laptop</v>
      </c>
      <c r="AF51" t="str">
        <f ca="1"/>
        <v>Electronics</v>
      </c>
      <c r="AG51">
        <f ca="1"/>
        <v>1</v>
      </c>
      <c r="AH51">
        <f ca="1"/>
        <v>899.99</v>
      </c>
      <c r="AI51" t="str">
        <f ca="1"/>
        <v>PayPal</v>
      </c>
      <c r="AJ51" t="str">
        <f ca="1"/>
        <v>North</v>
      </c>
      <c r="AK51" t="str">
        <f ca="1"/>
        <v>Standard</v>
      </c>
      <c r="AL51">
        <f ca="1"/>
        <v>44752</v>
      </c>
      <c r="AM51">
        <f ca="1"/>
        <v>899.99</v>
      </c>
      <c r="AN51">
        <f ca="1"/>
        <v>46324.554708333337</v>
      </c>
      <c r="AO51" t="str">
        <f ca="1"/>
        <v>Medium</v>
      </c>
      <c r="BH51" t="str">
        <f ca="1"/>
        <v>TRX0074</v>
      </c>
      <c r="BI51">
        <f ca="1"/>
        <v>45537</v>
      </c>
      <c r="BJ51" t="str">
        <f ca="1"/>
        <v>CUST023</v>
      </c>
      <c r="BK51" t="str">
        <f ca="1"/>
        <v>Paul Baker</v>
      </c>
      <c r="BL51" t="str">
        <f ca="1"/>
        <v>P009</v>
      </c>
      <c r="BM51" t="str">
        <f ca="1"/>
        <v>Monitor</v>
      </c>
      <c r="BN51" t="str">
        <f ca="1"/>
        <v>Electronics</v>
      </c>
      <c r="BO51">
        <f ca="1"/>
        <v>1</v>
      </c>
      <c r="BP51">
        <f ca="1"/>
        <v>249.99</v>
      </c>
      <c r="BQ51" t="str">
        <f ca="1"/>
        <v>Debit Card</v>
      </c>
      <c r="BR51" t="str">
        <f ca="1"/>
        <v>North</v>
      </c>
      <c r="BS51" t="str">
        <f ca="1"/>
        <v>Premium</v>
      </c>
      <c r="BT51">
        <f ca="1"/>
        <v>45332</v>
      </c>
      <c r="BU51">
        <f ca="1"/>
        <v>249.99</v>
      </c>
      <c r="BV51">
        <f ca="1"/>
        <v>46324.554708333337</v>
      </c>
      <c r="BW51" t="str">
        <f ca="1"/>
        <v>Low</v>
      </c>
    </row>
    <row r="52" spans="1:75">
      <c r="A52" t="str">
        <f>'Raw Data'!D46</f>
        <v>Betty Campbell</v>
      </c>
      <c r="B52" s="1">
        <f>'Raw Data'!M46</f>
        <v>44582</v>
      </c>
      <c r="C52">
        <f t="shared" ca="1" si="0"/>
        <v>4</v>
      </c>
      <c r="D52">
        <f t="shared" ca="1" si="1"/>
        <v>57</v>
      </c>
      <c r="E52" s="1">
        <f t="shared" si="2"/>
        <v>44592</v>
      </c>
      <c r="I52" t="str">
        <f ca="1"/>
        <v>TRX0098</v>
      </c>
      <c r="J52">
        <f ca="1"/>
        <v>45517</v>
      </c>
      <c r="K52" t="str">
        <f ca="1"/>
        <v>CUST026</v>
      </c>
      <c r="L52" t="str">
        <f ca="1"/>
        <v>Karen Hill</v>
      </c>
      <c r="M52" t="str">
        <f ca="1"/>
        <v>P009</v>
      </c>
      <c r="N52" t="str">
        <f ca="1"/>
        <v>Monitor</v>
      </c>
      <c r="O52" t="str">
        <f ca="1"/>
        <v>Electronics</v>
      </c>
      <c r="P52">
        <f ca="1"/>
        <v>3</v>
      </c>
      <c r="Q52">
        <f ca="1"/>
        <v>249.99</v>
      </c>
      <c r="R52" t="str">
        <f ca="1"/>
        <v>PayPal</v>
      </c>
      <c r="S52" t="str">
        <f ca="1"/>
        <v>North</v>
      </c>
      <c r="T52" t="str">
        <f ca="1"/>
        <v>Premium</v>
      </c>
      <c r="U52">
        <f ca="1"/>
        <v>44465</v>
      </c>
      <c r="V52">
        <f ca="1"/>
        <v>749.97</v>
      </c>
      <c r="W52">
        <f ca="1"/>
        <v>46324.554708333337</v>
      </c>
      <c r="X52" t="str">
        <f ca="1"/>
        <v>Medium</v>
      </c>
      <c r="Z52" t="str">
        <f ca="1"/>
        <v>TRX0238</v>
      </c>
      <c r="AA52">
        <f ca="1"/>
        <v>45668</v>
      </c>
      <c r="AB52" t="str">
        <f ca="1"/>
        <v>CUST038</v>
      </c>
      <c r="AC52" t="str">
        <f ca="1"/>
        <v>Michelle Rogers</v>
      </c>
      <c r="AD52" t="str">
        <f ca="1"/>
        <v>P002</v>
      </c>
      <c r="AE52" t="str">
        <f ca="1"/>
        <v>Smartphone</v>
      </c>
      <c r="AF52" t="str">
        <f ca="1"/>
        <v>Electronics</v>
      </c>
      <c r="AG52">
        <f ca="1"/>
        <v>3</v>
      </c>
      <c r="AH52">
        <f ca="1"/>
        <v>699.99</v>
      </c>
      <c r="AI52" t="str">
        <f ca="1"/>
        <v>Cash</v>
      </c>
      <c r="AJ52" t="str">
        <f ca="1"/>
        <v>North</v>
      </c>
      <c r="AK52" t="str">
        <f ca="1"/>
        <v>Premium</v>
      </c>
      <c r="AL52">
        <f ca="1"/>
        <v>44602</v>
      </c>
      <c r="AM52">
        <f ca="1"/>
        <v>2099.9699999999998</v>
      </c>
      <c r="AN52">
        <f ca="1"/>
        <v>46324.554708333337</v>
      </c>
      <c r="AO52" t="str">
        <f ca="1"/>
        <v>High</v>
      </c>
      <c r="BH52" t="str">
        <f ca="1"/>
        <v>TRX0112</v>
      </c>
      <c r="BI52">
        <f ca="1"/>
        <v>45544</v>
      </c>
      <c r="BJ52" t="str">
        <f ca="1"/>
        <v>CUST008</v>
      </c>
      <c r="BK52" t="str">
        <f ca="1"/>
        <v>Jennifer Taylor</v>
      </c>
      <c r="BL52" t="str">
        <f ca="1"/>
        <v>P004</v>
      </c>
      <c r="BM52" t="str">
        <f ca="1"/>
        <v>Coffee Maker</v>
      </c>
      <c r="BN52" t="str">
        <f ca="1"/>
        <v>Appliances</v>
      </c>
      <c r="BO52">
        <f ca="1"/>
        <v>4</v>
      </c>
      <c r="BP52">
        <f ca="1"/>
        <v>79.989999999999995</v>
      </c>
      <c r="BQ52" t="str">
        <f ca="1"/>
        <v>Cash</v>
      </c>
      <c r="BR52" t="str">
        <f ca="1"/>
        <v>North</v>
      </c>
      <c r="BS52" t="str">
        <f ca="1"/>
        <v>Basic</v>
      </c>
      <c r="BT52">
        <f ca="1"/>
        <v>44530</v>
      </c>
      <c r="BU52">
        <f ca="1"/>
        <v>319.95999999999998</v>
      </c>
      <c r="BV52">
        <f ca="1"/>
        <v>46324.554708333337</v>
      </c>
      <c r="BW52" t="str">
        <f ca="1"/>
        <v>Low</v>
      </c>
    </row>
    <row r="53" spans="1:75">
      <c r="A53" t="str">
        <f>'Raw Data'!D47</f>
        <v>Michael Brown</v>
      </c>
      <c r="B53" s="1">
        <f>'Raw Data'!M47</f>
        <v>44645</v>
      </c>
      <c r="C53">
        <f t="shared" ca="1" si="0"/>
        <v>4</v>
      </c>
      <c r="D53">
        <f t="shared" ca="1" si="1"/>
        <v>55</v>
      </c>
      <c r="E53" s="1">
        <f t="shared" si="2"/>
        <v>44651</v>
      </c>
      <c r="I53" t="str">
        <f ca="1"/>
        <v>TRX0140</v>
      </c>
      <c r="J53">
        <f ca="1"/>
        <v>45522</v>
      </c>
      <c r="K53" t="str">
        <f ca="1"/>
        <v>CUST025</v>
      </c>
      <c r="L53" t="str">
        <f ca="1"/>
        <v>Mark Carter</v>
      </c>
      <c r="M53" t="str">
        <f ca="1"/>
        <v>P010</v>
      </c>
      <c r="N53" t="str">
        <f ca="1"/>
        <v>Keyboard</v>
      </c>
      <c r="O53" t="str">
        <f ca="1"/>
        <v>Electronics</v>
      </c>
      <c r="P53">
        <f ca="1"/>
        <v>2</v>
      </c>
      <c r="Q53">
        <f ca="1"/>
        <v>89.99</v>
      </c>
      <c r="R53" t="str">
        <f ca="1"/>
        <v>Cash</v>
      </c>
      <c r="S53" t="str">
        <f ca="1"/>
        <v>East</v>
      </c>
      <c r="T53" t="str">
        <f ca="1"/>
        <v>Premium</v>
      </c>
      <c r="U53">
        <f ca="1"/>
        <v>44972</v>
      </c>
      <c r="V53">
        <f ca="1"/>
        <v>179.98</v>
      </c>
      <c r="W53">
        <f ca="1"/>
        <v>46324.554708333337</v>
      </c>
      <c r="X53" t="str">
        <f ca="1"/>
        <v>Low</v>
      </c>
      <c r="Z53" t="str">
        <f ca="1"/>
        <v>TRX0022</v>
      </c>
      <c r="AA53">
        <f ca="1"/>
        <v>45670</v>
      </c>
      <c r="AB53" t="str">
        <f ca="1"/>
        <v>CUST025</v>
      </c>
      <c r="AC53" t="str">
        <f ca="1"/>
        <v>Mark Carter</v>
      </c>
      <c r="AD53" t="str">
        <f ca="1"/>
        <v>P007</v>
      </c>
      <c r="AE53" t="str">
        <f ca="1"/>
        <v>Desk</v>
      </c>
      <c r="AF53" t="str">
        <f ca="1"/>
        <v>Furniture</v>
      </c>
      <c r="AG53">
        <f ca="1"/>
        <v>1</v>
      </c>
      <c r="AH53">
        <f ca="1"/>
        <v>299.99</v>
      </c>
      <c r="AI53" t="str">
        <f ca="1"/>
        <v>Credit Card</v>
      </c>
      <c r="AJ53" t="str">
        <f ca="1"/>
        <v>North</v>
      </c>
      <c r="AK53" t="str">
        <f ca="1"/>
        <v>Basic</v>
      </c>
      <c r="AL53">
        <f ca="1"/>
        <v>44436</v>
      </c>
      <c r="AM53">
        <f ca="1"/>
        <v>299.99</v>
      </c>
      <c r="AN53">
        <f ca="1"/>
        <v>46324.554708333337</v>
      </c>
      <c r="AO53" t="str">
        <f ca="1"/>
        <v>Low</v>
      </c>
      <c r="BH53" t="str">
        <f ca="1"/>
        <v>TRX0211</v>
      </c>
      <c r="BI53">
        <f ca="1"/>
        <v>45548</v>
      </c>
      <c r="BJ53" t="str">
        <f ca="1"/>
        <v>CUST046</v>
      </c>
      <c r="BK53" t="str">
        <f ca="1"/>
        <v>Kathleen Bennett</v>
      </c>
      <c r="BL53" t="str">
        <f ca="1"/>
        <v>P010</v>
      </c>
      <c r="BM53" t="str">
        <f ca="1"/>
        <v>Keyboard</v>
      </c>
      <c r="BN53" t="str">
        <f ca="1"/>
        <v>Electronics</v>
      </c>
      <c r="BO53">
        <f ca="1"/>
        <v>2</v>
      </c>
      <c r="BP53">
        <f ca="1"/>
        <v>89.99</v>
      </c>
      <c r="BQ53" t="str">
        <f ca="1"/>
        <v>Credit Card</v>
      </c>
      <c r="BR53" t="str">
        <f ca="1"/>
        <v>South</v>
      </c>
      <c r="BS53" t="str">
        <f ca="1"/>
        <v>Premium</v>
      </c>
      <c r="BT53">
        <f ca="1"/>
        <v>44641</v>
      </c>
      <c r="BU53">
        <f ca="1"/>
        <v>179.98</v>
      </c>
      <c r="BV53">
        <f ca="1"/>
        <v>46324.554708333337</v>
      </c>
      <c r="BW53" t="str">
        <f ca="1"/>
        <v>Low</v>
      </c>
    </row>
    <row r="54" spans="1:75">
      <c r="A54" t="str">
        <f>'Raw Data'!D48</f>
        <v>Julie Foster</v>
      </c>
      <c r="B54" s="1">
        <f>'Raw Data'!M48</f>
        <v>44435</v>
      </c>
      <c r="C54">
        <f t="shared" ca="1" si="0"/>
        <v>5</v>
      </c>
      <c r="D54">
        <f t="shared" ca="1" si="1"/>
        <v>62</v>
      </c>
      <c r="E54" s="1">
        <f t="shared" si="2"/>
        <v>44439</v>
      </c>
      <c r="I54" t="str">
        <f ca="1"/>
        <v>TRX0132</v>
      </c>
      <c r="J54">
        <f ca="1"/>
        <v>45523</v>
      </c>
      <c r="K54" t="str">
        <f ca="1"/>
        <v>CUST047</v>
      </c>
      <c r="L54" t="str">
        <f ca="1"/>
        <v>Gerald Murphy</v>
      </c>
      <c r="M54" t="str">
        <f ca="1"/>
        <v>P001</v>
      </c>
      <c r="N54" t="str">
        <f ca="1"/>
        <v>Laptop</v>
      </c>
      <c r="O54" t="str">
        <f ca="1"/>
        <v>Electronics</v>
      </c>
      <c r="P54">
        <f ca="1"/>
        <v>5</v>
      </c>
      <c r="Q54">
        <f ca="1"/>
        <v>899.99</v>
      </c>
      <c r="R54" t="str">
        <f ca="1"/>
        <v>Debit Card</v>
      </c>
      <c r="S54" t="str">
        <f ca="1"/>
        <v>East</v>
      </c>
      <c r="T54" t="str">
        <f ca="1"/>
        <v>Basic</v>
      </c>
      <c r="U54">
        <f ca="1"/>
        <v>44526</v>
      </c>
      <c r="V54">
        <f ca="1"/>
        <v>4499.95</v>
      </c>
      <c r="W54">
        <f ca="1"/>
        <v>46324.554708333337</v>
      </c>
      <c r="X54" t="str">
        <f ca="1"/>
        <v>High</v>
      </c>
      <c r="Z54" t="str">
        <f ca="1"/>
        <v>TRX0087</v>
      </c>
      <c r="AA54">
        <f ca="1"/>
        <v>45671</v>
      </c>
      <c r="AB54" t="str">
        <f ca="1"/>
        <v>CUST028</v>
      </c>
      <c r="AC54" t="str">
        <f ca="1"/>
        <v>Betty Campbell</v>
      </c>
      <c r="AD54" t="str">
        <f ca="1"/>
        <v>P009</v>
      </c>
      <c r="AE54" t="str">
        <f ca="1"/>
        <v>Monitor</v>
      </c>
      <c r="AF54" t="str">
        <f ca="1"/>
        <v>Electronics</v>
      </c>
      <c r="AG54">
        <f ca="1"/>
        <v>4</v>
      </c>
      <c r="AH54">
        <f ca="1"/>
        <v>249.99</v>
      </c>
      <c r="AI54" t="str">
        <f ca="1"/>
        <v>Credit Card</v>
      </c>
      <c r="AJ54" t="str">
        <f ca="1"/>
        <v>North</v>
      </c>
      <c r="AK54" t="str">
        <f ca="1"/>
        <v>Premium</v>
      </c>
      <c r="AL54">
        <f ca="1"/>
        <v>44460</v>
      </c>
      <c r="AM54">
        <f ca="1"/>
        <v>999.96</v>
      </c>
      <c r="AN54">
        <f ca="1"/>
        <v>46324.554708333337</v>
      </c>
      <c r="AO54" t="str">
        <f ca="1"/>
        <v>Medium</v>
      </c>
      <c r="BH54" t="str">
        <f ca="1"/>
        <v>TRX0005</v>
      </c>
      <c r="BI54">
        <f ca="1"/>
        <v>45550</v>
      </c>
      <c r="BJ54" t="str">
        <f ca="1"/>
        <v>CUST042</v>
      </c>
      <c r="BK54" t="str">
        <f ca="1"/>
        <v>Ruth Brooks</v>
      </c>
      <c r="BL54" t="str">
        <f ca="1"/>
        <v>P003</v>
      </c>
      <c r="BM54" t="str">
        <f ca="1"/>
        <v>Headphones</v>
      </c>
      <c r="BN54" t="str">
        <f ca="1"/>
        <v>Electronics</v>
      </c>
      <c r="BO54">
        <f ca="1"/>
        <v>4</v>
      </c>
      <c r="BP54">
        <f ca="1"/>
        <v>149.99</v>
      </c>
      <c r="BQ54" t="str">
        <f ca="1"/>
        <v>Cash</v>
      </c>
      <c r="BR54" t="str">
        <f ca="1"/>
        <v>North</v>
      </c>
      <c r="BS54" t="str">
        <f ca="1"/>
        <v>Basic</v>
      </c>
      <c r="BT54">
        <f ca="1"/>
        <v>44909</v>
      </c>
      <c r="BU54">
        <f ca="1"/>
        <v>599.96</v>
      </c>
      <c r="BV54">
        <f ca="1"/>
        <v>46324.554708333337</v>
      </c>
      <c r="BW54" t="str">
        <f ca="1"/>
        <v>Medium</v>
      </c>
    </row>
    <row r="55" spans="1:75">
      <c r="A55" t="str">
        <f>'Raw Data'!D49</f>
        <v>Lisa Anderson</v>
      </c>
      <c r="B55" s="1">
        <f>'Raw Data'!M49</f>
        <v>44579</v>
      </c>
      <c r="C55">
        <f t="shared" ca="1" si="0"/>
        <v>4</v>
      </c>
      <c r="D55">
        <f t="shared" ca="1" si="1"/>
        <v>57</v>
      </c>
      <c r="E55" s="1">
        <f t="shared" si="2"/>
        <v>44592</v>
      </c>
      <c r="I55" t="str">
        <f ca="1"/>
        <v>TRX0031</v>
      </c>
      <c r="J55">
        <f ca="1"/>
        <v>45523</v>
      </c>
      <c r="K55" t="str">
        <f ca="1"/>
        <v>CUST036</v>
      </c>
      <c r="L55" t="str">
        <f ca="1"/>
        <v>Nancy Collins</v>
      </c>
      <c r="M55" t="str">
        <f ca="1"/>
        <v>P003</v>
      </c>
      <c r="N55" t="str">
        <f ca="1"/>
        <v>Headphones</v>
      </c>
      <c r="O55" t="str">
        <f ca="1"/>
        <v>Electronics</v>
      </c>
      <c r="P55">
        <f ca="1"/>
        <v>3</v>
      </c>
      <c r="Q55">
        <f ca="1"/>
        <v>149.99</v>
      </c>
      <c r="R55" t="str">
        <f ca="1"/>
        <v>PayPal</v>
      </c>
      <c r="S55" t="str">
        <f ca="1"/>
        <v>East</v>
      </c>
      <c r="T55" t="str">
        <f ca="1"/>
        <v>Basic</v>
      </c>
      <c r="U55">
        <f ca="1"/>
        <v>44574</v>
      </c>
      <c r="V55">
        <f ca="1"/>
        <v>449.97</v>
      </c>
      <c r="W55">
        <f ca="1"/>
        <v>46324.554708333337</v>
      </c>
      <c r="X55" t="str">
        <f ca="1"/>
        <v>Low</v>
      </c>
      <c r="Z55" t="str">
        <f ca="1"/>
        <v>TRX0107</v>
      </c>
      <c r="AA55">
        <f ca="1"/>
        <v>45671</v>
      </c>
      <c r="AB55" t="str">
        <f ca="1"/>
        <v>CUST030</v>
      </c>
      <c r="AC55" t="str">
        <f ca="1"/>
        <v>Helen Roberts</v>
      </c>
      <c r="AD55" t="str">
        <f ca="1"/>
        <v>P003</v>
      </c>
      <c r="AE55" t="str">
        <f ca="1"/>
        <v>Headphones</v>
      </c>
      <c r="AF55" t="str">
        <f ca="1"/>
        <v>Electronics</v>
      </c>
      <c r="AG55">
        <f ca="1"/>
        <v>2</v>
      </c>
      <c r="AH55">
        <f ca="1"/>
        <v>149.99</v>
      </c>
      <c r="AI55" t="str">
        <f ca="1"/>
        <v>Cash</v>
      </c>
      <c r="AJ55" t="str">
        <f ca="1"/>
        <v>North</v>
      </c>
      <c r="AK55" t="str">
        <f ca="1"/>
        <v>Standard</v>
      </c>
      <c r="AL55">
        <f ca="1"/>
        <v>44913</v>
      </c>
      <c r="AM55">
        <f ca="1"/>
        <v>299.98</v>
      </c>
      <c r="AN55">
        <f ca="1"/>
        <v>46324.554708333337</v>
      </c>
      <c r="AO55" t="str">
        <f ca="1"/>
        <v>Low</v>
      </c>
      <c r="BH55" t="str">
        <f ca="1"/>
        <v>TRX0195</v>
      </c>
      <c r="BI55">
        <f ca="1"/>
        <v>45551</v>
      </c>
      <c r="BJ55" t="str">
        <f ca="1"/>
        <v>CUST026</v>
      </c>
      <c r="BK55" t="str">
        <f ca="1"/>
        <v>Karen Hill</v>
      </c>
      <c r="BL55" t="str">
        <f ca="1"/>
        <v>P009</v>
      </c>
      <c r="BM55" t="str">
        <f ca="1"/>
        <v>Monitor</v>
      </c>
      <c r="BN55" t="str">
        <f ca="1"/>
        <v>Electronics</v>
      </c>
      <c r="BO55">
        <f ca="1"/>
        <v>2</v>
      </c>
      <c r="BP55">
        <f ca="1"/>
        <v>249.99</v>
      </c>
      <c r="BQ55" t="str">
        <f ca="1"/>
        <v>PayPal</v>
      </c>
      <c r="BR55" t="str">
        <f ca="1"/>
        <v>South</v>
      </c>
      <c r="BS55" t="str">
        <f ca="1"/>
        <v>Basic</v>
      </c>
      <c r="BT55">
        <f ca="1"/>
        <v>44993</v>
      </c>
      <c r="BU55">
        <f ca="1"/>
        <v>499.98</v>
      </c>
      <c r="BV55">
        <f ca="1"/>
        <v>46324.554708333337</v>
      </c>
      <c r="BW55" t="str">
        <f ca="1"/>
        <v>Low</v>
      </c>
    </row>
    <row r="56" spans="1:75">
      <c r="A56" t="str">
        <f>'Raw Data'!D50</f>
        <v>Patricia Moore</v>
      </c>
      <c r="B56" s="1">
        <f>'Raw Data'!M50</f>
        <v>44471</v>
      </c>
      <c r="C56">
        <f t="shared" ca="1" si="0"/>
        <v>5</v>
      </c>
      <c r="D56">
        <f t="shared" ca="1" si="1"/>
        <v>60</v>
      </c>
      <c r="E56" s="1">
        <f t="shared" si="2"/>
        <v>44500</v>
      </c>
      <c r="I56" t="str">
        <f ca="1"/>
        <v>TRX0037</v>
      </c>
      <c r="J56">
        <f ca="1"/>
        <v>45528</v>
      </c>
      <c r="K56" t="str">
        <f ca="1"/>
        <v>CUST035</v>
      </c>
      <c r="L56" t="str">
        <f ca="1"/>
        <v>Harry Morgan</v>
      </c>
      <c r="M56" t="str">
        <f ca="1"/>
        <v>P009</v>
      </c>
      <c r="N56" t="str">
        <f ca="1"/>
        <v>Monitor</v>
      </c>
      <c r="O56" t="str">
        <f ca="1"/>
        <v>Electronics</v>
      </c>
      <c r="P56">
        <f ca="1"/>
        <v>2</v>
      </c>
      <c r="Q56">
        <f ca="1"/>
        <v>249.99</v>
      </c>
      <c r="R56" t="str">
        <f ca="1"/>
        <v>Cash</v>
      </c>
      <c r="S56" t="str">
        <f ca="1"/>
        <v>South</v>
      </c>
      <c r="T56" t="str">
        <f ca="1"/>
        <v>Standard</v>
      </c>
      <c r="U56">
        <f ca="1"/>
        <v>44572</v>
      </c>
      <c r="V56">
        <f ca="1"/>
        <v>499.98</v>
      </c>
      <c r="W56">
        <f ca="1"/>
        <v>46324.554708333337</v>
      </c>
      <c r="X56" t="str">
        <f ca="1"/>
        <v>Low</v>
      </c>
      <c r="Z56" t="str">
        <f ca="1"/>
        <v>TRX0024</v>
      </c>
      <c r="AA56">
        <f ca="1"/>
        <v>45695</v>
      </c>
      <c r="AB56" t="str">
        <f ca="1"/>
        <v>CUST042</v>
      </c>
      <c r="AC56" t="str">
        <f ca="1"/>
        <v>Ruth Brooks</v>
      </c>
      <c r="AD56" t="str">
        <f ca="1"/>
        <v>P008</v>
      </c>
      <c r="AE56" t="str">
        <f ca="1"/>
        <v>Bookshelf</v>
      </c>
      <c r="AF56" t="str">
        <f ca="1"/>
        <v>Furniture</v>
      </c>
      <c r="AG56">
        <f ca="1"/>
        <v>3</v>
      </c>
      <c r="AH56">
        <f ca="1"/>
        <v>149.99</v>
      </c>
      <c r="AI56" t="str">
        <f ca="1"/>
        <v>Debit Card</v>
      </c>
      <c r="AJ56" t="str">
        <f ca="1"/>
        <v>North</v>
      </c>
      <c r="AK56" t="str">
        <f ca="1"/>
        <v>Premium</v>
      </c>
      <c r="AL56">
        <f ca="1"/>
        <v>44564</v>
      </c>
      <c r="AM56">
        <f ca="1"/>
        <v>449.97</v>
      </c>
      <c r="AN56">
        <f ca="1"/>
        <v>46324.554708333337</v>
      </c>
      <c r="AO56" t="str">
        <f ca="1"/>
        <v>Low</v>
      </c>
      <c r="BH56" t="str">
        <f ca="1"/>
        <v>TRX0123</v>
      </c>
      <c r="BI56">
        <f ca="1"/>
        <v>45554</v>
      </c>
      <c r="BJ56" t="str">
        <f ca="1"/>
        <v>CUST041</v>
      </c>
      <c r="BK56" t="str">
        <f ca="1"/>
        <v>Peter Richardson</v>
      </c>
      <c r="BL56" t="str">
        <f ca="1"/>
        <v>P002</v>
      </c>
      <c r="BM56" t="str">
        <f ca="1"/>
        <v>Smartphone</v>
      </c>
      <c r="BN56" t="str">
        <f ca="1"/>
        <v>Electronics</v>
      </c>
      <c r="BO56">
        <f ca="1"/>
        <v>4</v>
      </c>
      <c r="BP56">
        <f ca="1"/>
        <v>699.99</v>
      </c>
      <c r="BQ56" t="str">
        <f ca="1"/>
        <v>PayPal</v>
      </c>
      <c r="BR56" t="str">
        <f ca="1"/>
        <v>South</v>
      </c>
      <c r="BS56" t="str">
        <f ca="1"/>
        <v>Basic</v>
      </c>
      <c r="BT56">
        <f ca="1"/>
        <v>44618</v>
      </c>
      <c r="BU56">
        <f ca="1"/>
        <v>2799.96</v>
      </c>
      <c r="BV56">
        <f ca="1"/>
        <v>46324.554708333337</v>
      </c>
      <c r="BW56" t="str">
        <f ca="1"/>
        <v>High</v>
      </c>
    </row>
    <row r="57" spans="1:75">
      <c r="A57" t="str">
        <f>'Raw Data'!D51</f>
        <v>Paul Baker</v>
      </c>
      <c r="B57" s="1">
        <f>'Raw Data'!M51</f>
        <v>44974</v>
      </c>
      <c r="C57">
        <f t="shared" ca="1" si="0"/>
        <v>3</v>
      </c>
      <c r="D57">
        <f t="shared" ca="1" si="1"/>
        <v>44</v>
      </c>
      <c r="E57" s="1">
        <f t="shared" si="2"/>
        <v>44985</v>
      </c>
      <c r="I57" t="str">
        <f ca="1"/>
        <v>TRX0058</v>
      </c>
      <c r="J57">
        <f ca="1"/>
        <v>45532</v>
      </c>
      <c r="K57" t="str">
        <f ca="1"/>
        <v>CUST047</v>
      </c>
      <c r="L57" t="str">
        <f ca="1"/>
        <v>Gerald Murphy</v>
      </c>
      <c r="M57" t="str">
        <f ca="1"/>
        <v>P002</v>
      </c>
      <c r="N57" t="str">
        <f ca="1"/>
        <v>Smartphone</v>
      </c>
      <c r="O57" t="str">
        <f ca="1"/>
        <v>Electronics</v>
      </c>
      <c r="P57">
        <f ca="1"/>
        <v>1</v>
      </c>
      <c r="Q57">
        <f ca="1"/>
        <v>699.99</v>
      </c>
      <c r="R57" t="str">
        <f ca="1"/>
        <v>Cash</v>
      </c>
      <c r="S57" t="str">
        <f ca="1"/>
        <v>Central</v>
      </c>
      <c r="T57" t="str">
        <f ca="1"/>
        <v>Premium</v>
      </c>
      <c r="U57">
        <f ca="1"/>
        <v>44497</v>
      </c>
      <c r="V57">
        <f ca="1"/>
        <v>699.99</v>
      </c>
      <c r="W57">
        <f ca="1"/>
        <v>46324.554708333337</v>
      </c>
      <c r="X57" t="str">
        <f ca="1"/>
        <v>Medium</v>
      </c>
      <c r="Z57" t="str">
        <f ca="1"/>
        <v>TRX0047</v>
      </c>
      <c r="AA57">
        <f ca="1"/>
        <v>45711</v>
      </c>
      <c r="AB57" t="str">
        <f ca="1"/>
        <v>CUST042</v>
      </c>
      <c r="AC57" t="str">
        <f ca="1"/>
        <v>Ruth Brooks</v>
      </c>
      <c r="AD57" t="str">
        <f ca="1"/>
        <v>P002</v>
      </c>
      <c r="AE57" t="str">
        <f ca="1"/>
        <v>Smartphone</v>
      </c>
      <c r="AF57" t="str">
        <f ca="1"/>
        <v>Electronics</v>
      </c>
      <c r="AG57">
        <f ca="1"/>
        <v>1</v>
      </c>
      <c r="AH57">
        <f ca="1"/>
        <v>699.99</v>
      </c>
      <c r="AI57" t="str">
        <f ca="1"/>
        <v>Cash</v>
      </c>
      <c r="AJ57" t="str">
        <f ca="1"/>
        <v>North</v>
      </c>
      <c r="AK57" t="str">
        <f ca="1"/>
        <v>Premium</v>
      </c>
      <c r="AL57">
        <f ca="1"/>
        <v>44583</v>
      </c>
      <c r="AM57">
        <f ca="1"/>
        <v>699.99</v>
      </c>
      <c r="AN57">
        <f ca="1"/>
        <v>46324.554708333337</v>
      </c>
      <c r="AO57" t="str">
        <f ca="1"/>
        <v>Medium</v>
      </c>
      <c r="BH57" t="str">
        <f ca="1"/>
        <v>TRX0177</v>
      </c>
      <c r="BI57">
        <f ca="1"/>
        <v>45559</v>
      </c>
      <c r="BJ57" t="str">
        <f ca="1"/>
        <v>CUST032</v>
      </c>
      <c r="BK57" t="str">
        <f ca="1"/>
        <v>Sandra Phillips</v>
      </c>
      <c r="BL57" t="str">
        <f ca="1"/>
        <v>P001</v>
      </c>
      <c r="BM57" t="str">
        <f ca="1"/>
        <v>Laptop</v>
      </c>
      <c r="BN57" t="str">
        <f ca="1"/>
        <v>Electronics</v>
      </c>
      <c r="BO57">
        <f ca="1"/>
        <v>3</v>
      </c>
      <c r="BP57">
        <f ca="1"/>
        <v>899.99</v>
      </c>
      <c r="BQ57" t="str">
        <f ca="1"/>
        <v>Credit Card</v>
      </c>
      <c r="BR57" t="str">
        <f ca="1"/>
        <v>North</v>
      </c>
      <c r="BS57" t="str">
        <f ca="1"/>
        <v>Standard</v>
      </c>
      <c r="BT57">
        <f ca="1"/>
        <v>45157</v>
      </c>
      <c r="BU57">
        <f ca="1"/>
        <v>2699.97</v>
      </c>
      <c r="BV57">
        <f ca="1"/>
        <v>46324.554708333337</v>
      </c>
      <c r="BW57" t="str">
        <f ca="1"/>
        <v>High</v>
      </c>
    </row>
    <row r="58" spans="1:75">
      <c r="A58" t="str">
        <f>'Raw Data'!D52</f>
        <v>Edward Mitchell</v>
      </c>
      <c r="B58" s="1">
        <f>'Raw Data'!M52</f>
        <v>45278</v>
      </c>
      <c r="C58">
        <f t="shared" ca="1" si="0"/>
        <v>2</v>
      </c>
      <c r="D58">
        <f t="shared" ca="1" si="1"/>
        <v>34</v>
      </c>
      <c r="E58" s="1">
        <f t="shared" si="2"/>
        <v>45291</v>
      </c>
      <c r="I58" t="str">
        <f ca="1"/>
        <v>TRX0170</v>
      </c>
      <c r="J58">
        <f ca="1"/>
        <v>45532</v>
      </c>
      <c r="K58" t="str">
        <f ca="1"/>
        <v>CUST034</v>
      </c>
      <c r="L58" t="str">
        <f ca="1"/>
        <v>Carol Evans</v>
      </c>
      <c r="M58" t="str">
        <f ca="1"/>
        <v>P003</v>
      </c>
      <c r="N58" t="str">
        <f ca="1"/>
        <v>Headphones</v>
      </c>
      <c r="O58" t="str">
        <f ca="1"/>
        <v>Electronics</v>
      </c>
      <c r="P58">
        <f ca="1"/>
        <v>3</v>
      </c>
      <c r="Q58">
        <f ca="1"/>
        <v>149.99</v>
      </c>
      <c r="R58" t="str">
        <f ca="1"/>
        <v>Cash</v>
      </c>
      <c r="S58" t="str">
        <f ca="1"/>
        <v>West</v>
      </c>
      <c r="T58" t="str">
        <f ca="1"/>
        <v>Premium</v>
      </c>
      <c r="U58">
        <f ca="1"/>
        <v>45212</v>
      </c>
      <c r="V58">
        <f ca="1"/>
        <v>449.97</v>
      </c>
      <c r="W58">
        <f ca="1"/>
        <v>46324.554708333337</v>
      </c>
      <c r="X58" t="str">
        <f ca="1"/>
        <v>Low</v>
      </c>
      <c r="Z58" t="str">
        <f ca="1"/>
        <v>TRX0200</v>
      </c>
      <c r="AA58">
        <f ca="1"/>
        <v>45711</v>
      </c>
      <c r="AB58" t="str">
        <f ca="1"/>
        <v>CUST037</v>
      </c>
      <c r="AC58" t="str">
        <f ca="1"/>
        <v>Arthur Edwards</v>
      </c>
      <c r="AD58" t="str">
        <f ca="1"/>
        <v>P008</v>
      </c>
      <c r="AE58" t="str">
        <f ca="1"/>
        <v>Bookshelf</v>
      </c>
      <c r="AF58" t="str">
        <f ca="1"/>
        <v>Furniture</v>
      </c>
      <c r="AG58">
        <f ca="1"/>
        <v>4</v>
      </c>
      <c r="AH58">
        <f ca="1"/>
        <v>149.99</v>
      </c>
      <c r="AI58" t="str">
        <f ca="1"/>
        <v>PayPal</v>
      </c>
      <c r="AJ58" t="str">
        <f ca="1"/>
        <v>North</v>
      </c>
      <c r="AK58" t="str">
        <f ca="1"/>
        <v>Premium</v>
      </c>
      <c r="AL58">
        <f ca="1"/>
        <v>44412</v>
      </c>
      <c r="AM58">
        <f ca="1"/>
        <v>599.96</v>
      </c>
      <c r="AN58">
        <f ca="1"/>
        <v>46324.554708333337</v>
      </c>
      <c r="AO58" t="str">
        <f ca="1"/>
        <v>Medium</v>
      </c>
      <c r="BH58" t="str">
        <f ca="1"/>
        <v>TRX0203</v>
      </c>
      <c r="BI58">
        <f ca="1"/>
        <v>45572</v>
      </c>
      <c r="BJ58" t="str">
        <f ca="1"/>
        <v>CUST032</v>
      </c>
      <c r="BK58" t="str">
        <f ca="1"/>
        <v>Sandra Phillips</v>
      </c>
      <c r="BL58" t="str">
        <f ca="1"/>
        <v>P003</v>
      </c>
      <c r="BM58" t="str">
        <f ca="1"/>
        <v>Headphones</v>
      </c>
      <c r="BN58" t="str">
        <f ca="1"/>
        <v>Electronics</v>
      </c>
      <c r="BO58">
        <f ca="1"/>
        <v>4</v>
      </c>
      <c r="BP58">
        <f ca="1"/>
        <v>149.99</v>
      </c>
      <c r="BQ58" t="str">
        <f ca="1"/>
        <v>Credit Card</v>
      </c>
      <c r="BR58" t="str">
        <f ca="1"/>
        <v>North</v>
      </c>
      <c r="BS58" t="str">
        <f ca="1"/>
        <v>Premium</v>
      </c>
      <c r="BT58">
        <f ca="1"/>
        <v>45076</v>
      </c>
      <c r="BU58">
        <f ca="1"/>
        <v>599.96</v>
      </c>
      <c r="BV58">
        <f ca="1"/>
        <v>46324.554708333337</v>
      </c>
      <c r="BW58" t="str">
        <f ca="1"/>
        <v>Medium</v>
      </c>
    </row>
    <row r="59" spans="1:75">
      <c r="A59" t="str">
        <f>'Raw Data'!D53</f>
        <v>Betty Campbell</v>
      </c>
      <c r="B59" s="1">
        <f>'Raw Data'!M53</f>
        <v>45190</v>
      </c>
      <c r="C59">
        <f t="shared" ca="1" si="0"/>
        <v>3</v>
      </c>
      <c r="D59">
        <f t="shared" ca="1" si="1"/>
        <v>37</v>
      </c>
      <c r="E59" s="1">
        <f t="shared" si="2"/>
        <v>45199</v>
      </c>
      <c r="I59" t="str">
        <f ca="1"/>
        <v>TRX0248</v>
      </c>
      <c r="J59">
        <f ca="1"/>
        <v>45534</v>
      </c>
      <c r="K59" t="str">
        <f ca="1"/>
        <v>CUST032</v>
      </c>
      <c r="L59" t="str">
        <f ca="1"/>
        <v>Sandra Phillips</v>
      </c>
      <c r="M59" t="str">
        <f ca="1"/>
        <v>P002</v>
      </c>
      <c r="N59" t="str">
        <f ca="1"/>
        <v>Smartphone</v>
      </c>
      <c r="O59" t="str">
        <f ca="1"/>
        <v>Electronics</v>
      </c>
      <c r="P59">
        <f ca="1"/>
        <v>2</v>
      </c>
      <c r="Q59">
        <f ca="1"/>
        <v>699.99</v>
      </c>
      <c r="R59" t="str">
        <f ca="1"/>
        <v>Credit Card</v>
      </c>
      <c r="S59" t="str">
        <f ca="1"/>
        <v>North</v>
      </c>
      <c r="T59" t="str">
        <f ca="1"/>
        <v>Premium</v>
      </c>
      <c r="U59">
        <f ca="1"/>
        <v>44421</v>
      </c>
      <c r="V59">
        <f ca="1"/>
        <v>1399.98</v>
      </c>
      <c r="W59">
        <f ca="1"/>
        <v>46324.554708333337</v>
      </c>
      <c r="X59" t="str">
        <f ca="1"/>
        <v>High</v>
      </c>
      <c r="Z59" t="str">
        <f ca="1"/>
        <v>TRX0038</v>
      </c>
      <c r="AA59">
        <f ca="1"/>
        <v>45726</v>
      </c>
      <c r="AB59" t="str">
        <f ca="1"/>
        <v>CUST035</v>
      </c>
      <c r="AC59" t="str">
        <f ca="1"/>
        <v>Harry Morgan</v>
      </c>
      <c r="AD59" t="str">
        <f ca="1"/>
        <v>P009</v>
      </c>
      <c r="AE59" t="str">
        <f ca="1"/>
        <v>Monitor</v>
      </c>
      <c r="AF59" t="str">
        <f ca="1"/>
        <v>Electronics</v>
      </c>
      <c r="AG59">
        <f ca="1"/>
        <v>1</v>
      </c>
      <c r="AH59">
        <f ca="1"/>
        <v>249.99</v>
      </c>
      <c r="AI59" t="str">
        <f ca="1"/>
        <v>Cash</v>
      </c>
      <c r="AJ59" t="str">
        <f ca="1"/>
        <v>North</v>
      </c>
      <c r="AK59" t="str">
        <f ca="1"/>
        <v>Standard</v>
      </c>
      <c r="AL59">
        <f ca="1"/>
        <v>45117</v>
      </c>
      <c r="AM59">
        <f ca="1"/>
        <v>249.99</v>
      </c>
      <c r="AN59">
        <f ca="1"/>
        <v>46324.554708333337</v>
      </c>
      <c r="AO59" t="str">
        <f ca="1"/>
        <v>Low</v>
      </c>
      <c r="BH59" t="str">
        <f ca="1"/>
        <v>TRX0218</v>
      </c>
      <c r="BI59">
        <f ca="1"/>
        <v>45573</v>
      </c>
      <c r="BJ59" t="str">
        <f ca="1"/>
        <v>CUST034</v>
      </c>
      <c r="BK59" t="str">
        <f ca="1"/>
        <v>Carol Evans</v>
      </c>
      <c r="BL59" t="str">
        <f ca="1"/>
        <v>P008</v>
      </c>
      <c r="BM59" t="str">
        <f ca="1"/>
        <v>Bookshelf</v>
      </c>
      <c r="BN59" t="str">
        <f ca="1"/>
        <v>Furniture</v>
      </c>
      <c r="BO59">
        <f ca="1"/>
        <v>3</v>
      </c>
      <c r="BP59">
        <f ca="1"/>
        <v>149.99</v>
      </c>
      <c r="BQ59" t="str">
        <f ca="1"/>
        <v>Credit Card</v>
      </c>
      <c r="BR59" t="str">
        <f ca="1"/>
        <v>South</v>
      </c>
      <c r="BS59" t="str">
        <f ca="1"/>
        <v>Standard</v>
      </c>
      <c r="BT59">
        <f ca="1"/>
        <v>44940</v>
      </c>
      <c r="BU59">
        <f ca="1"/>
        <v>449.97</v>
      </c>
      <c r="BV59">
        <f ca="1"/>
        <v>46324.554708333337</v>
      </c>
      <c r="BW59" t="str">
        <f ca="1"/>
        <v>Low</v>
      </c>
    </row>
    <row r="60" spans="1:75">
      <c r="A60" t="str">
        <f>'Raw Data'!D54</f>
        <v>Jennifer Taylor</v>
      </c>
      <c r="B60" s="1">
        <f>'Raw Data'!M54</f>
        <v>45253</v>
      </c>
      <c r="C60">
        <f t="shared" ca="1" si="0"/>
        <v>2</v>
      </c>
      <c r="D60">
        <f t="shared" ca="1" si="1"/>
        <v>35</v>
      </c>
      <c r="E60" s="1">
        <f t="shared" si="2"/>
        <v>45260</v>
      </c>
      <c r="I60" t="str">
        <f ca="1"/>
        <v>TRX0099</v>
      </c>
      <c r="J60">
        <f ca="1"/>
        <v>45537</v>
      </c>
      <c r="K60" t="str">
        <f ca="1"/>
        <v>CUST034</v>
      </c>
      <c r="L60" t="str">
        <f ca="1"/>
        <v>Carol Evans</v>
      </c>
      <c r="M60" t="str">
        <f ca="1"/>
        <v>P009</v>
      </c>
      <c r="N60" t="str">
        <f ca="1"/>
        <v>Monitor</v>
      </c>
      <c r="O60" t="str">
        <f ca="1"/>
        <v>Electronics</v>
      </c>
      <c r="P60">
        <f ca="1"/>
        <v>1</v>
      </c>
      <c r="Q60">
        <f ca="1"/>
        <v>249.99</v>
      </c>
      <c r="R60" t="str">
        <f ca="1"/>
        <v>Credit Card</v>
      </c>
      <c r="S60" t="str">
        <f ca="1"/>
        <v>West</v>
      </c>
      <c r="T60" t="str">
        <f ca="1"/>
        <v>Premium</v>
      </c>
      <c r="U60">
        <f ca="1"/>
        <v>44685</v>
      </c>
      <c r="V60">
        <f ca="1"/>
        <v>249.99</v>
      </c>
      <c r="W60">
        <f ca="1"/>
        <v>46324.554708333337</v>
      </c>
      <c r="X60" t="str">
        <f ca="1"/>
        <v>Low</v>
      </c>
      <c r="Z60" t="str">
        <f ca="1"/>
        <v>TRX0124</v>
      </c>
      <c r="AA60">
        <f ca="1"/>
        <v>45737</v>
      </c>
      <c r="AB60" t="str">
        <f ca="1"/>
        <v>CUST040</v>
      </c>
      <c r="AC60" t="str">
        <f ca="1"/>
        <v>Sharon Butler</v>
      </c>
      <c r="AD60" t="str">
        <f ca="1"/>
        <v>P001</v>
      </c>
      <c r="AE60" t="str">
        <f ca="1"/>
        <v>Laptop</v>
      </c>
      <c r="AF60" t="str">
        <f ca="1"/>
        <v>Electronics</v>
      </c>
      <c r="AG60">
        <f ca="1"/>
        <v>3</v>
      </c>
      <c r="AH60">
        <f ca="1"/>
        <v>899.99</v>
      </c>
      <c r="AI60" t="str">
        <f ca="1"/>
        <v>Debit Card</v>
      </c>
      <c r="AJ60" t="str">
        <f ca="1"/>
        <v>North</v>
      </c>
      <c r="AK60" t="str">
        <f ca="1"/>
        <v>Premium</v>
      </c>
      <c r="AL60">
        <f ca="1"/>
        <v>44876</v>
      </c>
      <c r="AM60">
        <f ca="1"/>
        <v>2699.97</v>
      </c>
      <c r="AN60">
        <f ca="1"/>
        <v>46324.554708333337</v>
      </c>
      <c r="AO60" t="str">
        <f ca="1"/>
        <v>High</v>
      </c>
      <c r="BH60" t="str">
        <f ca="1"/>
        <v>TRX0167</v>
      </c>
      <c r="BI60">
        <f ca="1"/>
        <v>45589</v>
      </c>
      <c r="BJ60" t="str">
        <f ca="1"/>
        <v>CUST028</v>
      </c>
      <c r="BK60" t="str">
        <f ca="1"/>
        <v>Betty Campbell</v>
      </c>
      <c r="BL60" t="str">
        <f ca="1"/>
        <v>P002</v>
      </c>
      <c r="BM60" t="str">
        <f ca="1"/>
        <v>Smartphone</v>
      </c>
      <c r="BN60" t="str">
        <f ca="1"/>
        <v>Electronics</v>
      </c>
      <c r="BO60">
        <f ca="1"/>
        <v>5</v>
      </c>
      <c r="BP60">
        <f ca="1"/>
        <v>699.99</v>
      </c>
      <c r="BQ60" t="str">
        <f ca="1"/>
        <v>Cash</v>
      </c>
      <c r="BR60" t="str">
        <f ca="1"/>
        <v>North</v>
      </c>
      <c r="BS60" t="str">
        <f ca="1"/>
        <v>Premium</v>
      </c>
      <c r="BT60">
        <f ca="1"/>
        <v>44635</v>
      </c>
      <c r="BU60">
        <f ca="1"/>
        <v>3499.95</v>
      </c>
      <c r="BV60">
        <f ca="1"/>
        <v>46324.554708333337</v>
      </c>
      <c r="BW60" t="str">
        <f ca="1"/>
        <v>High</v>
      </c>
    </row>
    <row r="61" spans="1:75">
      <c r="A61" t="str">
        <f>'Raw Data'!D55</f>
        <v>Raymond Ross</v>
      </c>
      <c r="B61" s="1">
        <f>'Raw Data'!M55</f>
        <v>45281</v>
      </c>
      <c r="C61">
        <f t="shared" ca="1" si="0"/>
        <v>2</v>
      </c>
      <c r="D61">
        <f t="shared" ca="1" si="1"/>
        <v>34</v>
      </c>
      <c r="E61" s="1">
        <f t="shared" si="2"/>
        <v>45291</v>
      </c>
      <c r="I61" t="str">
        <f ca="1"/>
        <v>TRX0074</v>
      </c>
      <c r="J61">
        <f ca="1"/>
        <v>45537</v>
      </c>
      <c r="K61" t="str">
        <f ca="1"/>
        <v>CUST023</v>
      </c>
      <c r="L61" t="str">
        <f ca="1"/>
        <v>Paul Baker</v>
      </c>
      <c r="M61" t="str">
        <f ca="1"/>
        <v>P009</v>
      </c>
      <c r="N61" t="str">
        <f ca="1"/>
        <v>Monitor</v>
      </c>
      <c r="O61" t="str">
        <f ca="1"/>
        <v>Electronics</v>
      </c>
      <c r="P61">
        <f ca="1"/>
        <v>1</v>
      </c>
      <c r="Q61">
        <f ca="1"/>
        <v>249.99</v>
      </c>
      <c r="R61" t="str">
        <f ca="1"/>
        <v>Debit Card</v>
      </c>
      <c r="S61" t="str">
        <f ca="1"/>
        <v>North</v>
      </c>
      <c r="T61" t="str">
        <f ca="1"/>
        <v>Premium</v>
      </c>
      <c r="U61">
        <f ca="1"/>
        <v>45332</v>
      </c>
      <c r="V61">
        <f ca="1"/>
        <v>249.99</v>
      </c>
      <c r="W61">
        <f ca="1"/>
        <v>46324.554708333337</v>
      </c>
      <c r="X61" t="str">
        <f ca="1"/>
        <v>Low</v>
      </c>
      <c r="Z61" t="str">
        <f ca="1"/>
        <v>TRX0013</v>
      </c>
      <c r="AA61">
        <f ca="1"/>
        <v>45737</v>
      </c>
      <c r="AB61" t="str">
        <f ca="1"/>
        <v>CUST024</v>
      </c>
      <c r="AC61" t="str">
        <f ca="1"/>
        <v>Dorothy Nelson</v>
      </c>
      <c r="AD61" t="str">
        <f ca="1"/>
        <v>P001</v>
      </c>
      <c r="AE61" t="str">
        <f ca="1"/>
        <v>Laptop</v>
      </c>
      <c r="AF61" t="str">
        <f ca="1"/>
        <v>Electronics</v>
      </c>
      <c r="AG61">
        <f ca="1"/>
        <v>3</v>
      </c>
      <c r="AH61">
        <f ca="1"/>
        <v>899.99</v>
      </c>
      <c r="AI61" t="str">
        <f ca="1"/>
        <v>PayPal</v>
      </c>
      <c r="AJ61" t="str">
        <f ca="1"/>
        <v>North</v>
      </c>
      <c r="AK61" t="str">
        <f ca="1"/>
        <v>Basic</v>
      </c>
      <c r="AL61">
        <f ca="1"/>
        <v>44975</v>
      </c>
      <c r="AM61">
        <f ca="1"/>
        <v>2699.97</v>
      </c>
      <c r="AN61">
        <f ca="1"/>
        <v>46324.554708333337</v>
      </c>
      <c r="AO61" t="str">
        <f ca="1"/>
        <v>High</v>
      </c>
      <c r="BH61" t="str">
        <f ca="1"/>
        <v>TRX0153</v>
      </c>
      <c r="BI61">
        <f ca="1"/>
        <v>45592</v>
      </c>
      <c r="BJ61" t="str">
        <f ca="1"/>
        <v>CUST049</v>
      </c>
      <c r="BK61" t="str">
        <f ca="1"/>
        <v>Raymond Ross</v>
      </c>
      <c r="BL61" t="str">
        <f ca="1"/>
        <v>P010</v>
      </c>
      <c r="BM61" t="str">
        <f ca="1"/>
        <v>Keyboard</v>
      </c>
      <c r="BN61" t="str">
        <f ca="1"/>
        <v>Electronics</v>
      </c>
      <c r="BO61">
        <f ca="1"/>
        <v>3</v>
      </c>
      <c r="BP61">
        <f ca="1"/>
        <v>89.99</v>
      </c>
      <c r="BQ61" t="str">
        <f ca="1"/>
        <v>Credit Card</v>
      </c>
      <c r="BR61" t="str">
        <f ca="1"/>
        <v>North</v>
      </c>
      <c r="BS61" t="str">
        <f ca="1"/>
        <v>Standard</v>
      </c>
      <c r="BT61">
        <f ca="1"/>
        <v>44615</v>
      </c>
      <c r="BU61">
        <f ca="1"/>
        <v>269.97000000000003</v>
      </c>
      <c r="BV61">
        <f ca="1"/>
        <v>46324.554708333337</v>
      </c>
      <c r="BW61" t="str">
        <f ca="1"/>
        <v>Low</v>
      </c>
    </row>
    <row r="62" spans="1:75">
      <c r="A62" t="str">
        <f>'Raw Data'!D56</f>
        <v>Kevin Scott</v>
      </c>
      <c r="B62" s="1">
        <f>'Raw Data'!M56</f>
        <v>45352</v>
      </c>
      <c r="C62">
        <f t="shared" ca="1" si="0"/>
        <v>2</v>
      </c>
      <c r="D62">
        <f t="shared" ca="1" si="1"/>
        <v>31</v>
      </c>
      <c r="E62" s="1">
        <f t="shared" si="2"/>
        <v>45382</v>
      </c>
      <c r="I62" t="str">
        <f ca="1"/>
        <v>TRX0225</v>
      </c>
      <c r="J62">
        <f ca="1"/>
        <v>45538</v>
      </c>
      <c r="K62" t="str">
        <f ca="1"/>
        <v>CUST039</v>
      </c>
      <c r="L62" t="str">
        <f ca="1"/>
        <v>Lawrence Reed</v>
      </c>
      <c r="M62" t="str">
        <f ca="1"/>
        <v>P002</v>
      </c>
      <c r="N62" t="str">
        <f ca="1"/>
        <v>Smartphone</v>
      </c>
      <c r="O62" t="str">
        <f ca="1"/>
        <v>Electronics</v>
      </c>
      <c r="P62">
        <f ca="1"/>
        <v>2</v>
      </c>
      <c r="Q62">
        <f ca="1"/>
        <v>699.99</v>
      </c>
      <c r="R62" t="str">
        <f ca="1"/>
        <v>Debit Card</v>
      </c>
      <c r="S62" t="str">
        <f ca="1"/>
        <v>Central</v>
      </c>
      <c r="T62" t="str">
        <f ca="1"/>
        <v>Premium</v>
      </c>
      <c r="U62">
        <f ca="1"/>
        <v>44870</v>
      </c>
      <c r="V62">
        <f ca="1"/>
        <v>1399.98</v>
      </c>
      <c r="W62">
        <f ca="1"/>
        <v>46324.554708333337</v>
      </c>
      <c r="X62" t="str">
        <f ca="1"/>
        <v>High</v>
      </c>
      <c r="Z62" t="str">
        <f ca="1"/>
        <v>TRX0068</v>
      </c>
      <c r="AA62">
        <f ca="1"/>
        <v>45748</v>
      </c>
      <c r="AB62" t="str">
        <f ca="1"/>
        <v>CUST044</v>
      </c>
      <c r="AC62" t="str">
        <f ca="1"/>
        <v>Cynthia Price</v>
      </c>
      <c r="AD62" t="str">
        <f ca="1"/>
        <v>P002</v>
      </c>
      <c r="AE62" t="str">
        <f ca="1"/>
        <v>Smartphone</v>
      </c>
      <c r="AF62" t="str">
        <f ca="1"/>
        <v>Electronics</v>
      </c>
      <c r="AG62">
        <f ca="1"/>
        <v>2</v>
      </c>
      <c r="AH62">
        <f ca="1"/>
        <v>699.99</v>
      </c>
      <c r="AI62" t="str">
        <f ca="1"/>
        <v>PayPal</v>
      </c>
      <c r="AJ62" t="str">
        <f ca="1"/>
        <v>North</v>
      </c>
      <c r="AK62" t="str">
        <f ca="1"/>
        <v>Standard</v>
      </c>
      <c r="AL62">
        <f ca="1"/>
        <v>44618</v>
      </c>
      <c r="AM62">
        <f ca="1"/>
        <v>1399.98</v>
      </c>
      <c r="AN62">
        <f ca="1"/>
        <v>46324.554708333337</v>
      </c>
      <c r="AO62" t="str">
        <f ca="1"/>
        <v>High</v>
      </c>
      <c r="BH62" t="str">
        <f ca="1"/>
        <v>TRX0057</v>
      </c>
      <c r="BI62">
        <f ca="1"/>
        <v>45597</v>
      </c>
      <c r="BJ62" t="str">
        <f ca="1"/>
        <v>CUST023</v>
      </c>
      <c r="BK62" t="str">
        <f ca="1"/>
        <v>Paul Baker</v>
      </c>
      <c r="BL62" t="str">
        <f ca="1"/>
        <v>P009</v>
      </c>
      <c r="BM62" t="str">
        <f ca="1"/>
        <v>Monitor</v>
      </c>
      <c r="BN62" t="str">
        <f ca="1"/>
        <v>Electronics</v>
      </c>
      <c r="BO62">
        <f ca="1"/>
        <v>5</v>
      </c>
      <c r="BP62">
        <f ca="1"/>
        <v>249.99</v>
      </c>
      <c r="BQ62" t="str">
        <f ca="1"/>
        <v>Credit Card</v>
      </c>
      <c r="BR62" t="str">
        <f ca="1"/>
        <v>South</v>
      </c>
      <c r="BS62" t="str">
        <f ca="1"/>
        <v>Standard</v>
      </c>
      <c r="BT62">
        <f ca="1"/>
        <v>44881</v>
      </c>
      <c r="BU62">
        <f ca="1"/>
        <v>1249.95</v>
      </c>
      <c r="BV62">
        <f ca="1"/>
        <v>46324.554708333337</v>
      </c>
      <c r="BW62" t="str">
        <f ca="1"/>
        <v>High</v>
      </c>
    </row>
    <row r="63" spans="1:75">
      <c r="A63" t="str">
        <f>'Raw Data'!D57</f>
        <v>Robert Thomas</v>
      </c>
      <c r="B63" s="1">
        <f>'Raw Data'!M57</f>
        <v>44438</v>
      </c>
      <c r="C63">
        <f t="shared" ca="1" si="0"/>
        <v>5</v>
      </c>
      <c r="D63">
        <f t="shared" ca="1" si="1"/>
        <v>61</v>
      </c>
      <c r="E63" s="1">
        <f t="shared" si="2"/>
        <v>44439</v>
      </c>
      <c r="I63" t="str">
        <f ca="1"/>
        <v>TRX0211</v>
      </c>
      <c r="J63">
        <f ca="1"/>
        <v>45548</v>
      </c>
      <c r="K63" t="str">
        <f ca="1"/>
        <v>CUST046</v>
      </c>
      <c r="L63" t="str">
        <f ca="1"/>
        <v>Kathleen Bennett</v>
      </c>
      <c r="M63" t="str">
        <f ca="1"/>
        <v>P010</v>
      </c>
      <c r="N63" t="str">
        <f ca="1"/>
        <v>Keyboard</v>
      </c>
      <c r="O63" t="str">
        <f ca="1"/>
        <v>Electronics</v>
      </c>
      <c r="P63">
        <f ca="1"/>
        <v>2</v>
      </c>
      <c r="Q63">
        <f ca="1"/>
        <v>89.99</v>
      </c>
      <c r="R63" t="str">
        <f ca="1"/>
        <v>Credit Card</v>
      </c>
      <c r="S63" t="str">
        <f ca="1"/>
        <v>South</v>
      </c>
      <c r="T63" t="str">
        <f ca="1"/>
        <v>Premium</v>
      </c>
      <c r="U63">
        <f ca="1"/>
        <v>44641</v>
      </c>
      <c r="V63">
        <f ca="1"/>
        <v>179.98</v>
      </c>
      <c r="W63">
        <f ca="1"/>
        <v>46324.554708333337</v>
      </c>
      <c r="X63" t="str">
        <f ca="1"/>
        <v>Low</v>
      </c>
      <c r="Z63" t="str">
        <f ca="1"/>
        <v>TRX0039</v>
      </c>
      <c r="AA63">
        <f ca="1"/>
        <v>45755</v>
      </c>
      <c r="AB63" t="str">
        <f ca="1"/>
        <v>CUST048</v>
      </c>
      <c r="AC63" t="str">
        <f ca="1"/>
        <v>Virginia Sanders</v>
      </c>
      <c r="AD63" t="str">
        <f ca="1"/>
        <v>P004</v>
      </c>
      <c r="AE63" t="str">
        <f ca="1"/>
        <v>Coffee Maker</v>
      </c>
      <c r="AF63" t="str">
        <f ca="1"/>
        <v>Appliances</v>
      </c>
      <c r="AG63">
        <f ca="1"/>
        <v>3</v>
      </c>
      <c r="AH63">
        <f ca="1"/>
        <v>79.989999999999995</v>
      </c>
      <c r="AI63" t="str">
        <f ca="1"/>
        <v>Credit Card</v>
      </c>
      <c r="AJ63" t="str">
        <f ca="1"/>
        <v>North</v>
      </c>
      <c r="AK63" t="str">
        <f ca="1"/>
        <v>Basic</v>
      </c>
      <c r="AL63">
        <f ca="1"/>
        <v>44511</v>
      </c>
      <c r="AM63">
        <f ca="1"/>
        <v>239.97</v>
      </c>
      <c r="AN63">
        <f ca="1"/>
        <v>46324.554708333337</v>
      </c>
      <c r="AO63" t="str">
        <f ca="1"/>
        <v>Low</v>
      </c>
      <c r="BH63" t="str">
        <f ca="1"/>
        <v>TRX0017</v>
      </c>
      <c r="BI63">
        <f ca="1"/>
        <v>45600</v>
      </c>
      <c r="BJ63" t="str">
        <f ca="1"/>
        <v>CUST026</v>
      </c>
      <c r="BK63" t="str">
        <f ca="1"/>
        <v>Karen Hill</v>
      </c>
      <c r="BL63" t="str">
        <f ca="1"/>
        <v>P007</v>
      </c>
      <c r="BM63" t="str">
        <f ca="1"/>
        <v>Desk</v>
      </c>
      <c r="BN63" t="str">
        <f ca="1"/>
        <v>Furniture</v>
      </c>
      <c r="BO63">
        <f ca="1"/>
        <v>3</v>
      </c>
      <c r="BP63">
        <f ca="1"/>
        <v>299.99</v>
      </c>
      <c r="BQ63" t="str">
        <f ca="1"/>
        <v>Credit Card</v>
      </c>
      <c r="BR63" t="str">
        <f ca="1"/>
        <v>South</v>
      </c>
      <c r="BS63" t="str">
        <f ca="1"/>
        <v>Standard</v>
      </c>
      <c r="BT63">
        <f ca="1"/>
        <v>44502</v>
      </c>
      <c r="BU63">
        <f ca="1"/>
        <v>899.97</v>
      </c>
      <c r="BV63">
        <f ca="1"/>
        <v>46324.554708333337</v>
      </c>
      <c r="BW63" t="str">
        <f ca="1"/>
        <v>Medium</v>
      </c>
    </row>
    <row r="64" spans="1:75">
      <c r="A64" t="str">
        <f>'Raw Data'!D58</f>
        <v>Kathleen Bennett</v>
      </c>
      <c r="B64" s="1">
        <f>'Raw Data'!M58</f>
        <v>45102</v>
      </c>
      <c r="C64">
        <f t="shared" ca="1" si="0"/>
        <v>3</v>
      </c>
      <c r="D64">
        <f t="shared" ca="1" si="1"/>
        <v>40</v>
      </c>
      <c r="E64" s="1">
        <f t="shared" si="2"/>
        <v>45107</v>
      </c>
      <c r="I64" t="str">
        <f ca="1"/>
        <v>TRX0005</v>
      </c>
      <c r="J64">
        <f ca="1"/>
        <v>45550</v>
      </c>
      <c r="K64" t="str">
        <f ca="1"/>
        <v>CUST042</v>
      </c>
      <c r="L64" t="str">
        <f ca="1"/>
        <v>Ruth Brooks</v>
      </c>
      <c r="M64" t="str">
        <f ca="1"/>
        <v>P003</v>
      </c>
      <c r="N64" t="str">
        <f ca="1"/>
        <v>Headphones</v>
      </c>
      <c r="O64" t="str">
        <f ca="1"/>
        <v>Electronics</v>
      </c>
      <c r="P64">
        <f ca="1"/>
        <v>4</v>
      </c>
      <c r="Q64">
        <f ca="1"/>
        <v>149.99</v>
      </c>
      <c r="R64" t="str">
        <f ca="1"/>
        <v>Cash</v>
      </c>
      <c r="S64" t="str">
        <f ca="1"/>
        <v>North</v>
      </c>
      <c r="T64" t="str">
        <f ca="1"/>
        <v>Basic</v>
      </c>
      <c r="U64">
        <f ca="1"/>
        <v>44909</v>
      </c>
      <c r="V64">
        <f ca="1"/>
        <v>599.96</v>
      </c>
      <c r="W64">
        <f ca="1"/>
        <v>46324.554708333337</v>
      </c>
      <c r="X64" t="str">
        <f ca="1"/>
        <v>Medium</v>
      </c>
      <c r="Z64" t="str">
        <f ca="1"/>
        <v>TRX0120</v>
      </c>
      <c r="AA64">
        <f ca="1"/>
        <v>45758</v>
      </c>
      <c r="AB64" t="str">
        <f ca="1"/>
        <v>CUST045</v>
      </c>
      <c r="AC64" t="str">
        <f ca="1"/>
        <v>Douglas Watson</v>
      </c>
      <c r="AD64" t="str">
        <f ca="1"/>
        <v>P002</v>
      </c>
      <c r="AE64" t="str">
        <f ca="1"/>
        <v>Smartphone</v>
      </c>
      <c r="AF64" t="str">
        <f ca="1"/>
        <v>Electronics</v>
      </c>
      <c r="AG64">
        <f ca="1"/>
        <v>3</v>
      </c>
      <c r="AH64">
        <f ca="1"/>
        <v>699.99</v>
      </c>
      <c r="AI64" t="str">
        <f ca="1"/>
        <v>PayPal</v>
      </c>
      <c r="AJ64" t="str">
        <f ca="1"/>
        <v>North</v>
      </c>
      <c r="AK64" t="str">
        <f ca="1"/>
        <v>Basic</v>
      </c>
      <c r="AL64">
        <f ca="1"/>
        <v>44909</v>
      </c>
      <c r="AM64">
        <f ca="1"/>
        <v>2099.9699999999998</v>
      </c>
      <c r="AN64">
        <f ca="1"/>
        <v>46324.554708333337</v>
      </c>
      <c r="AO64" t="str">
        <f ca="1"/>
        <v>High</v>
      </c>
      <c r="BH64" t="str">
        <f ca="1"/>
        <v>TRX0060</v>
      </c>
      <c r="BI64">
        <f ca="1"/>
        <v>45603</v>
      </c>
      <c r="BJ64" t="str">
        <f ca="1"/>
        <v>CUST012</v>
      </c>
      <c r="BK64" t="str">
        <f ca="1"/>
        <v>Patricia Moore</v>
      </c>
      <c r="BL64" t="str">
        <f ca="1"/>
        <v>P010</v>
      </c>
      <c r="BM64" t="str">
        <f ca="1"/>
        <v>Keyboard</v>
      </c>
      <c r="BN64" t="str">
        <f ca="1"/>
        <v>Electronics</v>
      </c>
      <c r="BO64">
        <f ca="1"/>
        <v>3</v>
      </c>
      <c r="BP64">
        <f ca="1"/>
        <v>89.99</v>
      </c>
      <c r="BQ64" t="str">
        <f ca="1"/>
        <v>Credit Card</v>
      </c>
      <c r="BR64" t="str">
        <f ca="1"/>
        <v>North</v>
      </c>
      <c r="BS64" t="str">
        <f ca="1"/>
        <v>Premium</v>
      </c>
      <c r="BT64">
        <f ca="1"/>
        <v>44420</v>
      </c>
      <c r="BU64">
        <f ca="1"/>
        <v>269.97000000000003</v>
      </c>
      <c r="BV64">
        <f ca="1"/>
        <v>46324.554708333337</v>
      </c>
      <c r="BW64" t="str">
        <f ca="1"/>
        <v>Low</v>
      </c>
    </row>
    <row r="65" spans="1:75">
      <c r="A65" t="str">
        <f>'Raw Data'!D59</f>
        <v>Patricia Moore</v>
      </c>
      <c r="B65" s="1">
        <f>'Raw Data'!M59</f>
        <v>44993</v>
      </c>
      <c r="C65">
        <f t="shared" ca="1" si="0"/>
        <v>3</v>
      </c>
      <c r="D65">
        <f t="shared" ca="1" si="1"/>
        <v>43</v>
      </c>
      <c r="E65" s="1">
        <f t="shared" si="2"/>
        <v>45016</v>
      </c>
      <c r="I65" t="str">
        <f ca="1"/>
        <v>TRX0195</v>
      </c>
      <c r="J65">
        <f ca="1"/>
        <v>45551</v>
      </c>
      <c r="K65" t="str">
        <f ca="1"/>
        <v>CUST026</v>
      </c>
      <c r="L65" t="str">
        <f ca="1"/>
        <v>Karen Hill</v>
      </c>
      <c r="M65" t="str">
        <f ca="1"/>
        <v>P009</v>
      </c>
      <c r="N65" t="str">
        <f ca="1"/>
        <v>Monitor</v>
      </c>
      <c r="O65" t="str">
        <f ca="1"/>
        <v>Electronics</v>
      </c>
      <c r="P65">
        <f ca="1"/>
        <v>2</v>
      </c>
      <c r="Q65">
        <f ca="1"/>
        <v>249.99</v>
      </c>
      <c r="R65" t="str">
        <f ca="1"/>
        <v>PayPal</v>
      </c>
      <c r="S65" t="str">
        <f ca="1"/>
        <v>South</v>
      </c>
      <c r="T65" t="str">
        <f ca="1"/>
        <v>Basic</v>
      </c>
      <c r="U65">
        <f ca="1"/>
        <v>44993</v>
      </c>
      <c r="V65">
        <f ca="1"/>
        <v>499.98</v>
      </c>
      <c r="W65">
        <f ca="1"/>
        <v>46324.554708333337</v>
      </c>
      <c r="X65" t="str">
        <f ca="1"/>
        <v>Low</v>
      </c>
      <c r="Z65" t="str">
        <f ca="1"/>
        <v>TRX0064</v>
      </c>
      <c r="AA65">
        <f ca="1"/>
        <v>45758</v>
      </c>
      <c r="AB65" t="str">
        <f ca="1"/>
        <v>CUST031</v>
      </c>
      <c r="AC65" t="str">
        <f ca="1"/>
        <v>Steven Turner</v>
      </c>
      <c r="AD65" t="str">
        <f ca="1"/>
        <v>P010</v>
      </c>
      <c r="AE65" t="str">
        <f ca="1"/>
        <v>Keyboard</v>
      </c>
      <c r="AF65" t="str">
        <f ca="1"/>
        <v>Electronics</v>
      </c>
      <c r="AG65">
        <f ca="1"/>
        <v>3</v>
      </c>
      <c r="AH65">
        <f ca="1"/>
        <v>89.99</v>
      </c>
      <c r="AI65" t="str">
        <f ca="1"/>
        <v>Debit Card</v>
      </c>
      <c r="AJ65" t="str">
        <f ca="1"/>
        <v>North</v>
      </c>
      <c r="AK65" t="str">
        <f ca="1"/>
        <v>Premium</v>
      </c>
      <c r="AL65">
        <f ca="1"/>
        <v>44878</v>
      </c>
      <c r="AM65">
        <f ca="1"/>
        <v>269.97000000000003</v>
      </c>
      <c r="AN65">
        <f ca="1"/>
        <v>46324.554708333337</v>
      </c>
      <c r="AO65" t="str">
        <f ca="1"/>
        <v>Low</v>
      </c>
      <c r="BH65" t="str">
        <f ca="1"/>
        <v>TRX0090</v>
      </c>
      <c r="BI65">
        <f ca="1"/>
        <v>45605</v>
      </c>
      <c r="BJ65" t="str">
        <f ca="1"/>
        <v>CUST020</v>
      </c>
      <c r="BK65" t="str">
        <f ca="1"/>
        <v>Margaret Wright</v>
      </c>
      <c r="BL65" t="str">
        <f ca="1"/>
        <v>P009</v>
      </c>
      <c r="BM65" t="str">
        <f ca="1"/>
        <v>Monitor</v>
      </c>
      <c r="BN65" t="str">
        <f ca="1"/>
        <v>Electronics</v>
      </c>
      <c r="BO65">
        <f ca="1"/>
        <v>1</v>
      </c>
      <c r="BP65">
        <f ca="1"/>
        <v>249.99</v>
      </c>
      <c r="BQ65" t="str">
        <f ca="1"/>
        <v>Credit Card</v>
      </c>
      <c r="BR65" t="str">
        <f ca="1"/>
        <v>North</v>
      </c>
      <c r="BS65" t="str">
        <f ca="1"/>
        <v>Premium</v>
      </c>
      <c r="BT65">
        <f ca="1"/>
        <v>44828</v>
      </c>
      <c r="BU65">
        <f ca="1"/>
        <v>249.99</v>
      </c>
      <c r="BV65">
        <f ca="1"/>
        <v>46324.554708333337</v>
      </c>
      <c r="BW65" t="str">
        <f ca="1"/>
        <v>Low</v>
      </c>
    </row>
    <row r="66" spans="1:75">
      <c r="A66" t="str">
        <f>'Raw Data'!D60</f>
        <v>Helen Roberts</v>
      </c>
      <c r="B66" s="1">
        <f>'Raw Data'!M60</f>
        <v>44851</v>
      </c>
      <c r="C66">
        <f t="shared" ca="1" si="0"/>
        <v>4</v>
      </c>
      <c r="D66">
        <f t="shared" ca="1" si="1"/>
        <v>48</v>
      </c>
      <c r="E66" s="1">
        <f t="shared" si="2"/>
        <v>44865</v>
      </c>
      <c r="I66" t="str">
        <f ca="1"/>
        <v>TRX0077</v>
      </c>
      <c r="J66">
        <f ca="1"/>
        <v>45554</v>
      </c>
      <c r="K66" t="str">
        <f ca="1"/>
        <v>CUST019</v>
      </c>
      <c r="L66" t="str">
        <f ca="1"/>
        <v>Daniel King</v>
      </c>
      <c r="M66" t="str">
        <f ca="1"/>
        <v>P010</v>
      </c>
      <c r="N66" t="str">
        <f ca="1"/>
        <v>Keyboard</v>
      </c>
      <c r="O66" t="str">
        <f ca="1"/>
        <v>Electronics</v>
      </c>
      <c r="P66">
        <f ca="1"/>
        <v>5</v>
      </c>
      <c r="Q66">
        <f ca="1"/>
        <v>89.99</v>
      </c>
      <c r="R66" t="str">
        <f ca="1"/>
        <v>Credit Card</v>
      </c>
      <c r="S66" t="str">
        <f ca="1"/>
        <v>East</v>
      </c>
      <c r="T66" t="str">
        <f ca="1"/>
        <v>Premium</v>
      </c>
      <c r="U66">
        <f ca="1"/>
        <v>44446</v>
      </c>
      <c r="V66">
        <f ca="1"/>
        <v>449.95</v>
      </c>
      <c r="W66">
        <f ca="1"/>
        <v>46324.554708333337</v>
      </c>
      <c r="X66" t="str">
        <f ca="1"/>
        <v>Low</v>
      </c>
      <c r="BH66" t="str">
        <f ca="1"/>
        <v>TRX0035</v>
      </c>
      <c r="BI66">
        <f ca="1"/>
        <v>45607</v>
      </c>
      <c r="BJ66" t="str">
        <f ca="1"/>
        <v>CUST041</v>
      </c>
      <c r="BK66" t="str">
        <f ca="1"/>
        <v>Peter Richardson</v>
      </c>
      <c r="BL66" t="str">
        <f ca="1"/>
        <v>P003</v>
      </c>
      <c r="BM66" t="str">
        <f ca="1"/>
        <v>Headphones</v>
      </c>
      <c r="BN66" t="str">
        <f ca="1"/>
        <v>Electronics</v>
      </c>
      <c r="BO66">
        <f ca="1"/>
        <v>3</v>
      </c>
      <c r="BP66">
        <f ca="1"/>
        <v>149.99</v>
      </c>
      <c r="BQ66" t="str">
        <f ca="1"/>
        <v>Cash</v>
      </c>
      <c r="BR66" t="str">
        <f ca="1"/>
        <v>North</v>
      </c>
      <c r="BS66" t="str">
        <f ca="1"/>
        <v>Basic</v>
      </c>
      <c r="BT66">
        <f ca="1"/>
        <v>44769</v>
      </c>
      <c r="BU66">
        <f ca="1"/>
        <v>449.97</v>
      </c>
      <c r="BV66">
        <f ca="1"/>
        <v>46324.554708333337</v>
      </c>
      <c r="BW66" t="str">
        <f ca="1"/>
        <v>Low</v>
      </c>
    </row>
    <row r="67" spans="1:75">
      <c r="A67" t="str">
        <f>'Raw Data'!D61</f>
        <v>Emma Wilson</v>
      </c>
      <c r="B67" s="1">
        <f>'Raw Data'!M61</f>
        <v>45275</v>
      </c>
      <c r="C67">
        <f t="shared" ca="1" si="0"/>
        <v>2</v>
      </c>
      <c r="D67">
        <f t="shared" ca="1" si="1"/>
        <v>34</v>
      </c>
      <c r="E67" s="1">
        <f t="shared" si="2"/>
        <v>45291</v>
      </c>
      <c r="I67" t="str">
        <f ca="1"/>
        <v>TRX0111</v>
      </c>
      <c r="J67">
        <f ca="1"/>
        <v>45554</v>
      </c>
      <c r="K67" t="str">
        <f ca="1"/>
        <v>CUST011</v>
      </c>
      <c r="L67" t="str">
        <f ca="1"/>
        <v>William White</v>
      </c>
      <c r="M67" t="str">
        <f ca="1"/>
        <v>P003</v>
      </c>
      <c r="N67" t="str">
        <f ca="1"/>
        <v>Headphones</v>
      </c>
      <c r="O67" t="str">
        <f ca="1"/>
        <v>Electronics</v>
      </c>
      <c r="P67">
        <f ca="1"/>
        <v>1</v>
      </c>
      <c r="Q67">
        <f ca="1"/>
        <v>149.99</v>
      </c>
      <c r="R67" t="str">
        <f ca="1"/>
        <v>PayPal</v>
      </c>
      <c r="S67" t="str">
        <f ca="1"/>
        <v>East</v>
      </c>
      <c r="T67" t="str">
        <f ca="1"/>
        <v>Standard</v>
      </c>
      <c r="U67">
        <f ca="1"/>
        <v>44482</v>
      </c>
      <c r="V67">
        <f ca="1"/>
        <v>149.99</v>
      </c>
      <c r="W67">
        <f ca="1"/>
        <v>46324.554708333337</v>
      </c>
      <c r="X67" t="str">
        <f ca="1"/>
        <v>Low</v>
      </c>
      <c r="BH67" t="str">
        <f ca="1"/>
        <v>TRX0149</v>
      </c>
      <c r="BI67">
        <f ca="1"/>
        <v>45608</v>
      </c>
      <c r="BJ67" t="str">
        <f ca="1"/>
        <v>CUST027</v>
      </c>
      <c r="BK67" t="str">
        <f ca="1"/>
        <v>George Adams</v>
      </c>
      <c r="BL67" t="str">
        <f ca="1"/>
        <v>P005</v>
      </c>
      <c r="BM67" t="str">
        <f ca="1"/>
        <v>Blender</v>
      </c>
      <c r="BN67" t="str">
        <f ca="1"/>
        <v>Appliances</v>
      </c>
      <c r="BO67">
        <f ca="1"/>
        <v>3</v>
      </c>
      <c r="BP67">
        <f ca="1"/>
        <v>59.99</v>
      </c>
      <c r="BQ67" t="str">
        <f ca="1"/>
        <v>Debit Card</v>
      </c>
      <c r="BR67" t="str">
        <f ca="1"/>
        <v>South</v>
      </c>
      <c r="BS67" t="str">
        <f ca="1"/>
        <v>Standard</v>
      </c>
      <c r="BT67">
        <f ca="1"/>
        <v>45260</v>
      </c>
      <c r="BU67">
        <f ca="1"/>
        <v>179.97</v>
      </c>
      <c r="BV67">
        <f ca="1"/>
        <v>46324.554708333337</v>
      </c>
      <c r="BW67" t="str">
        <f ca="1"/>
        <v>Low</v>
      </c>
    </row>
    <row r="68" spans="1:75">
      <c r="A68" t="str">
        <f>'Raw Data'!D62</f>
        <v>Charles Allen</v>
      </c>
      <c r="B68" s="1">
        <f>'Raw Data'!M62</f>
        <v>44802</v>
      </c>
      <c r="C68">
        <f t="shared" ca="1" si="0"/>
        <v>4</v>
      </c>
      <c r="D68">
        <f t="shared" ca="1" si="1"/>
        <v>50</v>
      </c>
      <c r="E68" s="1">
        <f t="shared" si="2"/>
        <v>44804</v>
      </c>
      <c r="I68" t="str">
        <f ca="1"/>
        <v>TRX0123</v>
      </c>
      <c r="J68">
        <f ca="1"/>
        <v>45554</v>
      </c>
      <c r="K68" t="str">
        <f ca="1"/>
        <v>CUST041</v>
      </c>
      <c r="L68" t="str">
        <f ca="1"/>
        <v>Peter Richardson</v>
      </c>
      <c r="M68" t="str">
        <f ca="1"/>
        <v>P002</v>
      </c>
      <c r="N68" t="str">
        <f ca="1"/>
        <v>Smartphone</v>
      </c>
      <c r="O68" t="str">
        <f ca="1"/>
        <v>Electronics</v>
      </c>
      <c r="P68">
        <f ca="1"/>
        <v>4</v>
      </c>
      <c r="Q68">
        <f ca="1"/>
        <v>699.99</v>
      </c>
      <c r="R68" t="str">
        <f ca="1"/>
        <v>PayPal</v>
      </c>
      <c r="S68" t="str">
        <f ca="1"/>
        <v>South</v>
      </c>
      <c r="T68" t="str">
        <f ca="1"/>
        <v>Basic</v>
      </c>
      <c r="U68">
        <f ca="1"/>
        <v>44618</v>
      </c>
      <c r="V68">
        <f ca="1"/>
        <v>2799.96</v>
      </c>
      <c r="W68">
        <f ca="1"/>
        <v>46324.554708333337</v>
      </c>
      <c r="X68" t="str">
        <f ca="1"/>
        <v>High</v>
      </c>
      <c r="BH68" t="str">
        <f ca="1"/>
        <v>TRX0073</v>
      </c>
      <c r="BI68">
        <f ca="1"/>
        <v>45613</v>
      </c>
      <c r="BJ68" t="str">
        <f ca="1"/>
        <v>CUST032</v>
      </c>
      <c r="BK68" t="str">
        <f ca="1"/>
        <v>Sandra Phillips</v>
      </c>
      <c r="BL68" t="str">
        <f ca="1"/>
        <v>P008</v>
      </c>
      <c r="BM68" t="str">
        <f ca="1"/>
        <v>Bookshelf</v>
      </c>
      <c r="BN68" t="str">
        <f ca="1"/>
        <v>Furniture</v>
      </c>
      <c r="BO68">
        <f ca="1"/>
        <v>5</v>
      </c>
      <c r="BP68">
        <f ca="1"/>
        <v>149.99</v>
      </c>
      <c r="BQ68" t="str">
        <f ca="1"/>
        <v>Cash</v>
      </c>
      <c r="BR68" t="str">
        <f ca="1"/>
        <v>North</v>
      </c>
      <c r="BS68" t="str">
        <f ca="1"/>
        <v>Basic</v>
      </c>
      <c r="BT68">
        <f ca="1"/>
        <v>44869</v>
      </c>
      <c r="BU68">
        <f ca="1"/>
        <v>749.95</v>
      </c>
      <c r="BV68">
        <f ca="1"/>
        <v>46324.554708333337</v>
      </c>
      <c r="BW68" t="str">
        <f ca="1"/>
        <v>Medium</v>
      </c>
    </row>
    <row r="69" spans="1:75">
      <c r="A69" t="str">
        <f>'Raw Data'!D63</f>
        <v>Susan Green</v>
      </c>
      <c r="B69" s="1">
        <f>'Raw Data'!M63</f>
        <v>44611</v>
      </c>
      <c r="C69">
        <f t="shared" ca="1" si="0"/>
        <v>4</v>
      </c>
      <c r="D69">
        <f t="shared" ca="1" si="1"/>
        <v>56</v>
      </c>
      <c r="E69" s="1">
        <f t="shared" si="2"/>
        <v>44620</v>
      </c>
      <c r="I69" t="str">
        <f ca="1"/>
        <v>TRX0177</v>
      </c>
      <c r="J69">
        <f ca="1"/>
        <v>45559</v>
      </c>
      <c r="K69" t="str">
        <f ca="1"/>
        <v>CUST032</v>
      </c>
      <c r="L69" t="str">
        <f ca="1"/>
        <v>Sandra Phillips</v>
      </c>
      <c r="M69" t="str">
        <f ca="1"/>
        <v>P001</v>
      </c>
      <c r="N69" t="str">
        <f ca="1"/>
        <v>Laptop</v>
      </c>
      <c r="O69" t="str">
        <f ca="1"/>
        <v>Electronics</v>
      </c>
      <c r="P69">
        <f ca="1"/>
        <v>3</v>
      </c>
      <c r="Q69">
        <f ca="1"/>
        <v>899.99</v>
      </c>
      <c r="R69" t="str">
        <f ca="1"/>
        <v>Credit Card</v>
      </c>
      <c r="S69" t="str">
        <f ca="1"/>
        <v>North</v>
      </c>
      <c r="T69" t="str">
        <f ca="1"/>
        <v>Standard</v>
      </c>
      <c r="U69">
        <f ca="1"/>
        <v>45157</v>
      </c>
      <c r="V69">
        <f ca="1"/>
        <v>2699.97</v>
      </c>
      <c r="W69">
        <f ca="1"/>
        <v>46324.554708333337</v>
      </c>
      <c r="X69" t="str">
        <f ca="1"/>
        <v>High</v>
      </c>
      <c r="BH69" t="str">
        <f ca="1"/>
        <v>TRX0012</v>
      </c>
      <c r="BI69">
        <f ca="1"/>
        <v>45622</v>
      </c>
      <c r="BJ69" t="str">
        <f ca="1"/>
        <v>CUST045</v>
      </c>
      <c r="BK69" t="str">
        <f ca="1"/>
        <v>Douglas Watson</v>
      </c>
      <c r="BL69" t="str">
        <f ca="1"/>
        <v>P009</v>
      </c>
      <c r="BM69" t="str">
        <f ca="1"/>
        <v>Monitor</v>
      </c>
      <c r="BN69" t="str">
        <f ca="1"/>
        <v>Electronics</v>
      </c>
      <c r="BO69">
        <f ca="1"/>
        <v>5</v>
      </c>
      <c r="BP69">
        <f ca="1"/>
        <v>249.99</v>
      </c>
      <c r="BQ69" t="str">
        <f ca="1"/>
        <v>Credit Card</v>
      </c>
      <c r="BR69" t="str">
        <f ca="1"/>
        <v>North</v>
      </c>
      <c r="BS69" t="str">
        <f ca="1"/>
        <v>Basic</v>
      </c>
      <c r="BT69">
        <f ca="1"/>
        <v>44873</v>
      </c>
      <c r="BU69">
        <f ca="1"/>
        <v>1249.95</v>
      </c>
      <c r="BV69">
        <f ca="1"/>
        <v>46324.554708333337</v>
      </c>
      <c r="BW69" t="str">
        <f ca="1"/>
        <v>High</v>
      </c>
    </row>
    <row r="70" spans="1:75">
      <c r="A70" t="str">
        <f>'Raw Data'!D64</f>
        <v>David Martinez</v>
      </c>
      <c r="B70" s="1">
        <f>'Raw Data'!M64</f>
        <v>44981</v>
      </c>
      <c r="C70">
        <f t="shared" ca="1" si="0"/>
        <v>3</v>
      </c>
      <c r="D70">
        <f t="shared" ca="1" si="1"/>
        <v>44</v>
      </c>
      <c r="E70" s="1">
        <f t="shared" si="2"/>
        <v>44985</v>
      </c>
      <c r="I70" t="str">
        <f ca="1"/>
        <v>TRX0203</v>
      </c>
      <c r="J70">
        <f ca="1"/>
        <v>45572</v>
      </c>
      <c r="K70" t="str">
        <f ca="1"/>
        <v>CUST032</v>
      </c>
      <c r="L70" t="str">
        <f ca="1"/>
        <v>Sandra Phillips</v>
      </c>
      <c r="M70" t="str">
        <f ca="1"/>
        <v>P003</v>
      </c>
      <c r="N70" t="str">
        <f ca="1"/>
        <v>Headphones</v>
      </c>
      <c r="O70" t="str">
        <f ca="1"/>
        <v>Electronics</v>
      </c>
      <c r="P70">
        <f ca="1"/>
        <v>4</v>
      </c>
      <c r="Q70">
        <f ca="1"/>
        <v>149.99</v>
      </c>
      <c r="R70" t="str">
        <f ca="1"/>
        <v>Credit Card</v>
      </c>
      <c r="S70" t="str">
        <f ca="1"/>
        <v>North</v>
      </c>
      <c r="T70" t="str">
        <f ca="1"/>
        <v>Premium</v>
      </c>
      <c r="U70">
        <f ca="1"/>
        <v>45076</v>
      </c>
      <c r="V70">
        <f ca="1"/>
        <v>599.96</v>
      </c>
      <c r="W70">
        <f ca="1"/>
        <v>46324.554708333337</v>
      </c>
      <c r="X70" t="str">
        <f ca="1"/>
        <v>Medium</v>
      </c>
      <c r="BH70" t="str">
        <f ca="1"/>
        <v>TRX0206</v>
      </c>
      <c r="BI70">
        <f ca="1"/>
        <v>45623</v>
      </c>
      <c r="BJ70" t="str">
        <f ca="1"/>
        <v>CUST014</v>
      </c>
      <c r="BK70" t="str">
        <f ca="1"/>
        <v>Linda Martin</v>
      </c>
      <c r="BL70" t="str">
        <f ca="1"/>
        <v>P008</v>
      </c>
      <c r="BM70" t="str">
        <f ca="1"/>
        <v>Bookshelf</v>
      </c>
      <c r="BN70" t="str">
        <f ca="1"/>
        <v>Furniture</v>
      </c>
      <c r="BO70">
        <f ca="1"/>
        <v>2</v>
      </c>
      <c r="BP70">
        <f ca="1"/>
        <v>149.99</v>
      </c>
      <c r="BQ70" t="str">
        <f ca="1"/>
        <v>Cash</v>
      </c>
      <c r="BR70" t="str">
        <f ca="1"/>
        <v>South</v>
      </c>
      <c r="BS70" t="str">
        <f ca="1"/>
        <v>Standard</v>
      </c>
      <c r="BT70">
        <f ca="1"/>
        <v>45101</v>
      </c>
      <c r="BU70">
        <f ca="1"/>
        <v>299.98</v>
      </c>
      <c r="BV70">
        <f ca="1"/>
        <v>46324.554708333337</v>
      </c>
      <c r="BW70" t="str">
        <f ca="1"/>
        <v>Low</v>
      </c>
    </row>
    <row r="71" spans="1:75">
      <c r="A71" t="str">
        <f>'Raw Data'!D65</f>
        <v>Margaret Wright</v>
      </c>
      <c r="B71" s="1">
        <f>'Raw Data'!M65</f>
        <v>44421</v>
      </c>
      <c r="C71">
        <f t="shared" ca="1" si="0"/>
        <v>5</v>
      </c>
      <c r="D71">
        <f t="shared" ca="1" si="1"/>
        <v>62</v>
      </c>
      <c r="E71" s="1">
        <f t="shared" si="2"/>
        <v>44439</v>
      </c>
      <c r="I71" t="str">
        <f ca="1"/>
        <v>TRX0055</v>
      </c>
      <c r="J71">
        <f ca="1"/>
        <v>45573</v>
      </c>
      <c r="K71" t="str">
        <f ca="1"/>
        <v>CUST016</v>
      </c>
      <c r="L71" t="str">
        <f ca="1"/>
        <v>Elizabeth Hall</v>
      </c>
      <c r="M71" t="str">
        <f ca="1"/>
        <v>P002</v>
      </c>
      <c r="N71" t="str">
        <f ca="1"/>
        <v>Smartphone</v>
      </c>
      <c r="O71" t="str">
        <f ca="1"/>
        <v>Electronics</v>
      </c>
      <c r="P71">
        <f ca="1"/>
        <v>2</v>
      </c>
      <c r="Q71">
        <f ca="1"/>
        <v>699.99</v>
      </c>
      <c r="R71" t="str">
        <f ca="1"/>
        <v>Debit Card</v>
      </c>
      <c r="S71" t="str">
        <f ca="1"/>
        <v>East</v>
      </c>
      <c r="T71" t="str">
        <f ca="1"/>
        <v>Premium</v>
      </c>
      <c r="U71">
        <f ca="1"/>
        <v>45274</v>
      </c>
      <c r="V71">
        <f ca="1"/>
        <v>1399.98</v>
      </c>
      <c r="W71">
        <f ca="1"/>
        <v>46324.554708333337</v>
      </c>
      <c r="X71" t="str">
        <f ca="1"/>
        <v>High</v>
      </c>
      <c r="BH71" t="str">
        <f ca="1"/>
        <v>TRX0045</v>
      </c>
      <c r="BI71">
        <f ca="1"/>
        <v>45627</v>
      </c>
      <c r="BJ71" t="str">
        <f ca="1"/>
        <v>CUST021</v>
      </c>
      <c r="BK71" t="str">
        <f ca="1"/>
        <v>Kevin Scott</v>
      </c>
      <c r="BL71" t="str">
        <f ca="1"/>
        <v>P007</v>
      </c>
      <c r="BM71" t="str">
        <f ca="1"/>
        <v>Desk</v>
      </c>
      <c r="BN71" t="str">
        <f ca="1"/>
        <v>Furniture</v>
      </c>
      <c r="BO71">
        <f ca="1"/>
        <v>3</v>
      </c>
      <c r="BP71">
        <f ca="1"/>
        <v>299.99</v>
      </c>
      <c r="BQ71" t="str">
        <f ca="1"/>
        <v>Cash</v>
      </c>
      <c r="BR71" t="str">
        <f ca="1"/>
        <v>South</v>
      </c>
      <c r="BS71" t="str">
        <f ca="1"/>
        <v>Premium</v>
      </c>
      <c r="BT71">
        <f ca="1"/>
        <v>44659</v>
      </c>
      <c r="BU71">
        <f ca="1"/>
        <v>899.97</v>
      </c>
      <c r="BV71">
        <f ca="1"/>
        <v>46324.554708333337</v>
      </c>
      <c r="BW71" t="str">
        <f ca="1"/>
        <v>Medium</v>
      </c>
    </row>
    <row r="72" spans="1:75">
      <c r="A72" t="str">
        <f>'Raw Data'!D66</f>
        <v>Michael Brown</v>
      </c>
      <c r="B72" s="1">
        <f>'Raw Data'!M66</f>
        <v>45389</v>
      </c>
      <c r="C72">
        <f t="shared" ca="1" si="0"/>
        <v>2</v>
      </c>
      <c r="D72">
        <f t="shared" ca="1" si="1"/>
        <v>30</v>
      </c>
      <c r="E72" s="1">
        <f t="shared" si="2"/>
        <v>45412</v>
      </c>
      <c r="I72" t="str">
        <f ca="1"/>
        <v>TRX0158</v>
      </c>
      <c r="J72">
        <f ca="1"/>
        <v>45579</v>
      </c>
      <c r="K72" t="str">
        <f ca="1"/>
        <v>CUST027</v>
      </c>
      <c r="L72" t="str">
        <f ca="1"/>
        <v>George Adams</v>
      </c>
      <c r="M72" t="str">
        <f ca="1"/>
        <v>P001</v>
      </c>
      <c r="N72" t="str">
        <f ca="1"/>
        <v>Laptop</v>
      </c>
      <c r="O72" t="str">
        <f ca="1"/>
        <v>Electronics</v>
      </c>
      <c r="P72">
        <f ca="1"/>
        <v>3</v>
      </c>
      <c r="Q72">
        <f ca="1"/>
        <v>899.99</v>
      </c>
      <c r="R72" t="str">
        <f ca="1"/>
        <v>PayPal</v>
      </c>
      <c r="S72" t="str">
        <f ca="1"/>
        <v>West</v>
      </c>
      <c r="T72" t="str">
        <f ca="1"/>
        <v>Basic</v>
      </c>
      <c r="U72">
        <f ca="1"/>
        <v>45215</v>
      </c>
      <c r="V72">
        <f ca="1"/>
        <v>2699.97</v>
      </c>
      <c r="W72">
        <f ca="1"/>
        <v>46324.554708333337</v>
      </c>
      <c r="X72" t="str">
        <f ca="1"/>
        <v>High</v>
      </c>
      <c r="BH72" t="str">
        <f ca="1"/>
        <v>TRX0133</v>
      </c>
      <c r="BI72">
        <f ca="1"/>
        <v>45627</v>
      </c>
      <c r="BJ72" t="str">
        <f ca="1"/>
        <v>CUST013</v>
      </c>
      <c r="BK72" t="str">
        <f ca="1"/>
        <v>Joseph Jackson</v>
      </c>
      <c r="BL72" t="str">
        <f ca="1"/>
        <v>P003</v>
      </c>
      <c r="BM72" t="str">
        <f ca="1"/>
        <v>Headphones</v>
      </c>
      <c r="BN72" t="str">
        <f ca="1"/>
        <v>Electronics</v>
      </c>
      <c r="BO72">
        <f ca="1"/>
        <v>2</v>
      </c>
      <c r="BP72">
        <f ca="1"/>
        <v>149.99</v>
      </c>
      <c r="BQ72" t="str">
        <f ca="1"/>
        <v>Cash</v>
      </c>
      <c r="BR72" t="str">
        <f ca="1"/>
        <v>South</v>
      </c>
      <c r="BS72" t="str">
        <f ca="1"/>
        <v>Premium</v>
      </c>
      <c r="BT72">
        <f ca="1"/>
        <v>44475</v>
      </c>
      <c r="BU72">
        <f ca="1"/>
        <v>299.98</v>
      </c>
      <c r="BV72">
        <f ca="1"/>
        <v>46324.554708333337</v>
      </c>
      <c r="BW72" t="str">
        <f ca="1"/>
        <v>Low</v>
      </c>
    </row>
    <row r="73" spans="1:75">
      <c r="A73" t="str">
        <f>'Raw Data'!D67</f>
        <v>Barbara Young</v>
      </c>
      <c r="B73" s="1">
        <f>'Raw Data'!M67</f>
        <v>45161</v>
      </c>
      <c r="C73">
        <f t="shared" ref="C73:C136" ca="1" si="3">DATEDIF(B73,TODAY(),"Y")</f>
        <v>3</v>
      </c>
      <c r="D73">
        <f t="shared" ref="D73:D136" ca="1" si="4">DATEDIF(B73,$B$3,"M")</f>
        <v>38</v>
      </c>
      <c r="E73" s="1">
        <f t="shared" ref="E73:E136" si="5">EOMONTH(B73,0)</f>
        <v>45169</v>
      </c>
      <c r="I73" t="str">
        <f ca="1"/>
        <v>TRX0173</v>
      </c>
      <c r="J73">
        <f ca="1"/>
        <v>45581</v>
      </c>
      <c r="K73" t="str">
        <f ca="1"/>
        <v>CUST018</v>
      </c>
      <c r="L73" t="str">
        <f ca="1"/>
        <v>Barbara Young</v>
      </c>
      <c r="M73" t="str">
        <f ca="1"/>
        <v>P002</v>
      </c>
      <c r="N73" t="str">
        <f ca="1"/>
        <v>Smartphone</v>
      </c>
      <c r="O73" t="str">
        <f ca="1"/>
        <v>Electronics</v>
      </c>
      <c r="P73">
        <f ca="1"/>
        <v>5</v>
      </c>
      <c r="Q73">
        <f ca="1"/>
        <v>699.99</v>
      </c>
      <c r="R73" t="str">
        <f ca="1"/>
        <v>Cash</v>
      </c>
      <c r="S73" t="str">
        <f ca="1"/>
        <v>East</v>
      </c>
      <c r="T73" t="str">
        <f ca="1"/>
        <v>Standard</v>
      </c>
      <c r="U73">
        <f ca="1"/>
        <v>45008</v>
      </c>
      <c r="V73">
        <f ca="1"/>
        <v>3499.95</v>
      </c>
      <c r="W73">
        <f ca="1"/>
        <v>46324.554708333337</v>
      </c>
      <c r="X73" t="str">
        <f ca="1"/>
        <v>High</v>
      </c>
      <c r="BH73" t="str">
        <f ca="1"/>
        <v>TRX0066</v>
      </c>
      <c r="BI73">
        <f ca="1"/>
        <v>45630</v>
      </c>
      <c r="BJ73" t="str">
        <f ca="1"/>
        <v>CUST024</v>
      </c>
      <c r="BK73" t="str">
        <f ca="1"/>
        <v>Dorothy Nelson</v>
      </c>
      <c r="BL73" t="str">
        <f ca="1"/>
        <v>P002</v>
      </c>
      <c r="BM73" t="str">
        <f ca="1"/>
        <v>Smartphone</v>
      </c>
      <c r="BN73" t="str">
        <f ca="1"/>
        <v>Electronics</v>
      </c>
      <c r="BO73">
        <f ca="1"/>
        <v>4</v>
      </c>
      <c r="BP73">
        <f ca="1"/>
        <v>699.99</v>
      </c>
      <c r="BQ73" t="str">
        <f ca="1"/>
        <v>Credit Card</v>
      </c>
      <c r="BR73" t="str">
        <f ca="1"/>
        <v>North</v>
      </c>
      <c r="BS73" t="str">
        <f ca="1"/>
        <v>Premium</v>
      </c>
      <c r="BT73">
        <f ca="1"/>
        <v>44703</v>
      </c>
      <c r="BU73">
        <f ca="1"/>
        <v>2799.96</v>
      </c>
      <c r="BV73">
        <f ca="1"/>
        <v>46324.554708333337</v>
      </c>
      <c r="BW73" t="str">
        <f ca="1"/>
        <v>High</v>
      </c>
    </row>
    <row r="74" spans="1:75">
      <c r="A74" t="str">
        <f>'Raw Data'!D68</f>
        <v>Raymond Ross</v>
      </c>
      <c r="B74" s="1">
        <f>'Raw Data'!M68</f>
        <v>44509</v>
      </c>
      <c r="C74">
        <f t="shared" ca="1" si="3"/>
        <v>4</v>
      </c>
      <c r="D74">
        <f t="shared" ca="1" si="4"/>
        <v>59</v>
      </c>
      <c r="E74" s="1">
        <f t="shared" si="5"/>
        <v>44530</v>
      </c>
      <c r="I74" t="str">
        <f ca="1"/>
        <v>TRX0034</v>
      </c>
      <c r="J74">
        <f ca="1"/>
        <v>45581</v>
      </c>
      <c r="K74" t="str">
        <f ca="1"/>
        <v>CUST049</v>
      </c>
      <c r="L74" t="str">
        <f ca="1"/>
        <v>Raymond Ross</v>
      </c>
      <c r="M74" t="str">
        <f ca="1"/>
        <v>P002</v>
      </c>
      <c r="N74" t="str">
        <f ca="1"/>
        <v>Smartphone</v>
      </c>
      <c r="O74" t="str">
        <f ca="1"/>
        <v>Electronics</v>
      </c>
      <c r="P74">
        <f ca="1"/>
        <v>4</v>
      </c>
      <c r="Q74">
        <f ca="1"/>
        <v>699.99</v>
      </c>
      <c r="R74" t="str">
        <f ca="1"/>
        <v>Credit Card</v>
      </c>
      <c r="S74" t="str">
        <f ca="1"/>
        <v>Central</v>
      </c>
      <c r="T74" t="str">
        <f ca="1"/>
        <v>Basic</v>
      </c>
      <c r="U74">
        <f ca="1"/>
        <v>45385</v>
      </c>
      <c r="V74">
        <f ca="1"/>
        <v>2799.96</v>
      </c>
      <c r="W74">
        <f ca="1"/>
        <v>46324.554708333337</v>
      </c>
      <c r="X74" t="str">
        <f ca="1"/>
        <v>High</v>
      </c>
      <c r="BH74" t="str">
        <f ca="1"/>
        <v>TRX0032</v>
      </c>
      <c r="BI74">
        <f ca="1"/>
        <v>45638</v>
      </c>
      <c r="BJ74" t="str">
        <f ca="1"/>
        <v>CUST041</v>
      </c>
      <c r="BK74" t="str">
        <f ca="1"/>
        <v>Peter Richardson</v>
      </c>
      <c r="BL74" t="str">
        <f ca="1"/>
        <v>P001</v>
      </c>
      <c r="BM74" t="str">
        <f ca="1"/>
        <v>Laptop</v>
      </c>
      <c r="BN74" t="str">
        <f ca="1"/>
        <v>Electronics</v>
      </c>
      <c r="BO74">
        <f ca="1"/>
        <v>2</v>
      </c>
      <c r="BP74">
        <f ca="1"/>
        <v>899.99</v>
      </c>
      <c r="BQ74" t="str">
        <f ca="1"/>
        <v>Cash</v>
      </c>
      <c r="BR74" t="str">
        <f ca="1"/>
        <v>North</v>
      </c>
      <c r="BS74" t="str">
        <f ca="1"/>
        <v>Basic</v>
      </c>
      <c r="BT74">
        <f ca="1"/>
        <v>44406</v>
      </c>
      <c r="BU74">
        <f ca="1"/>
        <v>1799.98</v>
      </c>
      <c r="BV74">
        <f ca="1"/>
        <v>46324.554708333337</v>
      </c>
      <c r="BW74" t="str">
        <f ca="1"/>
        <v>High</v>
      </c>
    </row>
    <row r="75" spans="1:75">
      <c r="A75" t="str">
        <f>'Raw Data'!D69</f>
        <v>Joseph Jackson</v>
      </c>
      <c r="B75" s="1">
        <f>'Raw Data'!M69</f>
        <v>44909</v>
      </c>
      <c r="C75">
        <f t="shared" ca="1" si="3"/>
        <v>3</v>
      </c>
      <c r="D75">
        <f t="shared" ca="1" si="4"/>
        <v>46</v>
      </c>
      <c r="E75" s="1">
        <f t="shared" si="5"/>
        <v>44926</v>
      </c>
      <c r="I75" t="str">
        <f ca="1"/>
        <v>TRX0189</v>
      </c>
      <c r="J75">
        <f ca="1"/>
        <v>45581</v>
      </c>
      <c r="K75" t="str">
        <f ca="1"/>
        <v>CUST040</v>
      </c>
      <c r="L75" t="str">
        <f ca="1"/>
        <v>Sharon Butler</v>
      </c>
      <c r="M75" t="str">
        <f ca="1"/>
        <v>P001</v>
      </c>
      <c r="N75" t="str">
        <f ca="1"/>
        <v>Laptop</v>
      </c>
      <c r="O75" t="str">
        <f ca="1"/>
        <v>Electronics</v>
      </c>
      <c r="P75">
        <f ca="1"/>
        <v>1</v>
      </c>
      <c r="Q75">
        <f ca="1"/>
        <v>899.99</v>
      </c>
      <c r="R75" t="str">
        <f ca="1"/>
        <v>Credit Card</v>
      </c>
      <c r="S75" t="str">
        <f ca="1"/>
        <v>East</v>
      </c>
      <c r="T75" t="str">
        <f ca="1"/>
        <v>Standard</v>
      </c>
      <c r="U75">
        <f ca="1"/>
        <v>45369</v>
      </c>
      <c r="V75">
        <f ca="1"/>
        <v>899.99</v>
      </c>
      <c r="W75">
        <f ca="1"/>
        <v>46324.554708333337</v>
      </c>
      <c r="X75" t="str">
        <f ca="1"/>
        <v>Medium</v>
      </c>
      <c r="BH75" t="str">
        <f ca="1"/>
        <v>TRX0046</v>
      </c>
      <c r="BI75">
        <f ca="1"/>
        <v>45646</v>
      </c>
      <c r="BJ75" t="str">
        <f ca="1"/>
        <v>CUST003</v>
      </c>
      <c r="BK75" t="str">
        <f ca="1"/>
        <v>Michael Brown</v>
      </c>
      <c r="BL75" t="str">
        <f ca="1"/>
        <v>P008</v>
      </c>
      <c r="BM75" t="str">
        <f ca="1"/>
        <v>Bookshelf</v>
      </c>
      <c r="BN75" t="str">
        <f ca="1"/>
        <v>Furniture</v>
      </c>
      <c r="BO75">
        <f ca="1"/>
        <v>2</v>
      </c>
      <c r="BP75">
        <f ca="1"/>
        <v>149.99</v>
      </c>
      <c r="BQ75" t="str">
        <f ca="1"/>
        <v>Cash</v>
      </c>
      <c r="BR75" t="str">
        <f ca="1"/>
        <v>South</v>
      </c>
      <c r="BS75" t="str">
        <f ca="1"/>
        <v>Basic</v>
      </c>
      <c r="BT75">
        <f ca="1"/>
        <v>45239</v>
      </c>
      <c r="BU75">
        <f ca="1"/>
        <v>299.98</v>
      </c>
      <c r="BV75">
        <f ca="1"/>
        <v>46324.554708333337</v>
      </c>
      <c r="BW75" t="str">
        <f ca="1"/>
        <v>Low</v>
      </c>
    </row>
    <row r="76" spans="1:75">
      <c r="A76" t="str">
        <f>'Raw Data'!D70</f>
        <v>Frank Torres</v>
      </c>
      <c r="B76" s="1">
        <f>'Raw Data'!M70</f>
        <v>44891</v>
      </c>
      <c r="C76">
        <f t="shared" ca="1" si="3"/>
        <v>3</v>
      </c>
      <c r="D76">
        <f t="shared" ca="1" si="4"/>
        <v>47</v>
      </c>
      <c r="E76" s="1">
        <f t="shared" si="5"/>
        <v>44895</v>
      </c>
      <c r="I76" t="str">
        <f ca="1"/>
        <v>TRX0190</v>
      </c>
      <c r="J76">
        <f ca="1"/>
        <v>45583</v>
      </c>
      <c r="K76" t="str">
        <f ca="1"/>
        <v>CUST039</v>
      </c>
      <c r="L76" t="str">
        <f ca="1"/>
        <v>Lawrence Reed</v>
      </c>
      <c r="M76" t="str">
        <f ca="1"/>
        <v>P003</v>
      </c>
      <c r="N76" t="str">
        <f ca="1"/>
        <v>Headphones</v>
      </c>
      <c r="O76" t="str">
        <f ca="1"/>
        <v>Electronics</v>
      </c>
      <c r="P76">
        <f ca="1"/>
        <v>2</v>
      </c>
      <c r="Q76">
        <f ca="1"/>
        <v>149.99</v>
      </c>
      <c r="R76" t="str">
        <f ca="1"/>
        <v>Credit Card</v>
      </c>
      <c r="S76" t="str">
        <f ca="1"/>
        <v>West</v>
      </c>
      <c r="T76" t="str">
        <f ca="1"/>
        <v>Basic</v>
      </c>
      <c r="U76">
        <f ca="1"/>
        <v>44916</v>
      </c>
      <c r="V76">
        <f ca="1"/>
        <v>299.98</v>
      </c>
      <c r="W76">
        <f ca="1"/>
        <v>46324.554708333337</v>
      </c>
      <c r="X76" t="str">
        <f ca="1"/>
        <v>Low</v>
      </c>
      <c r="BH76" t="str">
        <f ca="1"/>
        <v>TRX0008</v>
      </c>
      <c r="BI76">
        <f ca="1"/>
        <v>45648</v>
      </c>
      <c r="BJ76" t="str">
        <f ca="1"/>
        <v>CUST007</v>
      </c>
      <c r="BK76" t="str">
        <f ca="1"/>
        <v>David Martinez</v>
      </c>
      <c r="BL76" t="str">
        <f ca="1"/>
        <v>P008</v>
      </c>
      <c r="BM76" t="str">
        <f ca="1"/>
        <v>Bookshelf</v>
      </c>
      <c r="BN76" t="str">
        <f ca="1"/>
        <v>Furniture</v>
      </c>
      <c r="BO76">
        <f ca="1"/>
        <v>3</v>
      </c>
      <c r="BP76">
        <f ca="1"/>
        <v>149.99</v>
      </c>
      <c r="BQ76" t="str">
        <f ca="1"/>
        <v>Debit Card</v>
      </c>
      <c r="BR76" t="str">
        <f ca="1"/>
        <v>North</v>
      </c>
      <c r="BS76" t="str">
        <f ca="1"/>
        <v>Standard</v>
      </c>
      <c r="BT76">
        <f ca="1"/>
        <v>44522</v>
      </c>
      <c r="BU76">
        <f ca="1"/>
        <v>449.97</v>
      </c>
      <c r="BV76">
        <f ca="1"/>
        <v>46324.554708333337</v>
      </c>
      <c r="BW76" t="str">
        <f ca="1"/>
        <v>Low</v>
      </c>
    </row>
    <row r="77" spans="1:75">
      <c r="A77" t="str">
        <f>'Raw Data'!D71</f>
        <v>Frank Torres</v>
      </c>
      <c r="B77" s="1">
        <f>'Raw Data'!M71</f>
        <v>44541</v>
      </c>
      <c r="C77">
        <f t="shared" ca="1" si="3"/>
        <v>4</v>
      </c>
      <c r="D77">
        <f t="shared" ca="1" si="4"/>
        <v>58</v>
      </c>
      <c r="E77" s="1">
        <f t="shared" si="5"/>
        <v>44561</v>
      </c>
      <c r="I77" t="str">
        <f ca="1"/>
        <v>TRX0079</v>
      </c>
      <c r="J77">
        <f ca="1"/>
        <v>45586</v>
      </c>
      <c r="K77" t="str">
        <f ca="1"/>
        <v>CUST039</v>
      </c>
      <c r="L77" t="str">
        <f ca="1"/>
        <v>Lawrence Reed</v>
      </c>
      <c r="M77" t="str">
        <f ca="1"/>
        <v>P010</v>
      </c>
      <c r="N77" t="str">
        <f ca="1"/>
        <v>Keyboard</v>
      </c>
      <c r="O77" t="str">
        <f ca="1"/>
        <v>Electronics</v>
      </c>
      <c r="P77">
        <f ca="1"/>
        <v>3</v>
      </c>
      <c r="Q77">
        <f ca="1"/>
        <v>89.99</v>
      </c>
      <c r="R77" t="str">
        <f ca="1"/>
        <v>PayPal</v>
      </c>
      <c r="S77" t="str">
        <f ca="1"/>
        <v>Central</v>
      </c>
      <c r="T77" t="str">
        <f ca="1"/>
        <v>Basic</v>
      </c>
      <c r="U77">
        <f ca="1"/>
        <v>44551</v>
      </c>
      <c r="V77">
        <f ca="1"/>
        <v>269.97000000000003</v>
      </c>
      <c r="W77">
        <f ca="1"/>
        <v>46324.554708333337</v>
      </c>
      <c r="X77" t="str">
        <f ca="1"/>
        <v>Low</v>
      </c>
      <c r="BH77" t="str">
        <f ca="1"/>
        <v>TRX0171</v>
      </c>
      <c r="BI77">
        <f ca="1"/>
        <v>45649</v>
      </c>
      <c r="BJ77" t="str">
        <f ca="1"/>
        <v>CUST021</v>
      </c>
      <c r="BK77" t="str">
        <f ca="1"/>
        <v>Kevin Scott</v>
      </c>
      <c r="BL77" t="str">
        <f ca="1"/>
        <v>P007</v>
      </c>
      <c r="BM77" t="str">
        <f ca="1"/>
        <v>Desk</v>
      </c>
      <c r="BN77" t="str">
        <f ca="1"/>
        <v>Furniture</v>
      </c>
      <c r="BO77">
        <f ca="1"/>
        <v>2</v>
      </c>
      <c r="BP77">
        <f ca="1"/>
        <v>299.99</v>
      </c>
      <c r="BQ77" t="str">
        <f ca="1"/>
        <v>PayPal</v>
      </c>
      <c r="BR77" t="str">
        <f ca="1"/>
        <v>South</v>
      </c>
      <c r="BS77" t="str">
        <f ca="1"/>
        <v>Basic</v>
      </c>
      <c r="BT77">
        <f ca="1"/>
        <v>44721</v>
      </c>
      <c r="BU77">
        <f ca="1"/>
        <v>599.98</v>
      </c>
      <c r="BV77">
        <f ca="1"/>
        <v>46324.554708333337</v>
      </c>
      <c r="BW77" t="str">
        <f ca="1"/>
        <v>Medium</v>
      </c>
    </row>
    <row r="78" spans="1:75">
      <c r="A78" t="str">
        <f>'Raw Data'!D72</f>
        <v>Gerald Murphy</v>
      </c>
      <c r="B78" s="1">
        <f>'Raw Data'!M72</f>
        <v>45130</v>
      </c>
      <c r="C78">
        <f t="shared" ca="1" si="3"/>
        <v>3</v>
      </c>
      <c r="D78">
        <f t="shared" ca="1" si="4"/>
        <v>39</v>
      </c>
      <c r="E78" s="1">
        <f t="shared" si="5"/>
        <v>45138</v>
      </c>
      <c r="I78" t="str">
        <f ca="1"/>
        <v>TRX0095</v>
      </c>
      <c r="J78">
        <f ca="1"/>
        <v>45588</v>
      </c>
      <c r="K78" t="str">
        <f ca="1"/>
        <v>CUST046</v>
      </c>
      <c r="L78" t="str">
        <f ca="1"/>
        <v>Kathleen Bennett</v>
      </c>
      <c r="M78" t="str">
        <f ca="1"/>
        <v>P003</v>
      </c>
      <c r="N78" t="str">
        <f ca="1"/>
        <v>Headphones</v>
      </c>
      <c r="O78" t="str">
        <f ca="1"/>
        <v>Electronics</v>
      </c>
      <c r="P78">
        <f ca="1"/>
        <v>2</v>
      </c>
      <c r="Q78">
        <f ca="1"/>
        <v>149.99</v>
      </c>
      <c r="R78" t="str">
        <f ca="1"/>
        <v>PayPal</v>
      </c>
      <c r="S78" t="str">
        <f ca="1"/>
        <v>Central</v>
      </c>
      <c r="T78" t="str">
        <f ca="1"/>
        <v>Basic</v>
      </c>
      <c r="U78">
        <f ca="1"/>
        <v>44473</v>
      </c>
      <c r="V78">
        <f ca="1"/>
        <v>299.98</v>
      </c>
      <c r="W78">
        <f ca="1"/>
        <v>46324.554708333337</v>
      </c>
      <c r="X78" t="str">
        <f ca="1"/>
        <v>Low</v>
      </c>
      <c r="BH78" t="str">
        <f ca="1"/>
        <v>TRX0156</v>
      </c>
      <c r="BI78">
        <f ca="1"/>
        <v>45655</v>
      </c>
      <c r="BJ78" t="str">
        <f ca="1"/>
        <v>CUST009</v>
      </c>
      <c r="BK78" t="str">
        <f ca="1"/>
        <v>Robert Thomas</v>
      </c>
      <c r="BL78" t="str">
        <f ca="1"/>
        <v>P010</v>
      </c>
      <c r="BM78" t="str">
        <f ca="1"/>
        <v>Keyboard</v>
      </c>
      <c r="BN78" t="str">
        <f ca="1"/>
        <v>Electronics</v>
      </c>
      <c r="BO78">
        <f ca="1"/>
        <v>1</v>
      </c>
      <c r="BP78">
        <f ca="1"/>
        <v>89.99</v>
      </c>
      <c r="BQ78" t="str">
        <f ca="1"/>
        <v>Credit Card</v>
      </c>
      <c r="BR78" t="str">
        <f ca="1"/>
        <v>South</v>
      </c>
      <c r="BS78" t="str">
        <f ca="1"/>
        <v>Premium</v>
      </c>
      <c r="BT78">
        <f ca="1"/>
        <v>44591</v>
      </c>
      <c r="BU78">
        <f ca="1"/>
        <v>89.99</v>
      </c>
      <c r="BV78">
        <f ca="1"/>
        <v>46324.554708333337</v>
      </c>
      <c r="BW78" t="str">
        <f ca="1"/>
        <v>Low</v>
      </c>
    </row>
    <row r="79" spans="1:75">
      <c r="A79" t="str">
        <f>'Raw Data'!D73</f>
        <v>Peter Richardson</v>
      </c>
      <c r="B79" s="1">
        <f>'Raw Data'!M73</f>
        <v>45199</v>
      </c>
      <c r="C79">
        <f t="shared" ca="1" si="3"/>
        <v>3</v>
      </c>
      <c r="D79">
        <f t="shared" ca="1" si="4"/>
        <v>36</v>
      </c>
      <c r="E79" s="1">
        <f t="shared" si="5"/>
        <v>45199</v>
      </c>
      <c r="I79" t="str">
        <f ca="1"/>
        <v>TRX0009</v>
      </c>
      <c r="J79">
        <f ca="1"/>
        <v>45588</v>
      </c>
      <c r="K79" t="str">
        <f ca="1"/>
        <v>CUST004</v>
      </c>
      <c r="L79" t="str">
        <f ca="1"/>
        <v>Sarah Davis</v>
      </c>
      <c r="M79" t="str">
        <f ca="1"/>
        <v>P002</v>
      </c>
      <c r="N79" t="str">
        <f ca="1"/>
        <v>Smartphone</v>
      </c>
      <c r="O79" t="str">
        <f ca="1"/>
        <v>Electronics</v>
      </c>
      <c r="P79">
        <f ca="1"/>
        <v>2</v>
      </c>
      <c r="Q79">
        <f ca="1"/>
        <v>699.99</v>
      </c>
      <c r="R79" t="str">
        <f ca="1"/>
        <v>Cash</v>
      </c>
      <c r="S79" t="str">
        <f ca="1"/>
        <v>Central</v>
      </c>
      <c r="T79" t="str">
        <f ca="1"/>
        <v>Basic</v>
      </c>
      <c r="U79">
        <f ca="1"/>
        <v>44992</v>
      </c>
      <c r="V79">
        <f ca="1"/>
        <v>1399.98</v>
      </c>
      <c r="W79">
        <f ca="1"/>
        <v>46324.554708333337</v>
      </c>
      <c r="X79" t="str">
        <f ca="1"/>
        <v>High</v>
      </c>
      <c r="BH79" t="str">
        <f ca="1"/>
        <v>TRX0207</v>
      </c>
      <c r="BI79">
        <f ca="1"/>
        <v>45657</v>
      </c>
      <c r="BJ79" t="str">
        <f ca="1"/>
        <v>CUST025</v>
      </c>
      <c r="BK79" t="str">
        <f ca="1"/>
        <v>Mark Carter</v>
      </c>
      <c r="BL79" t="str">
        <f ca="1"/>
        <v>P001</v>
      </c>
      <c r="BM79" t="str">
        <f ca="1"/>
        <v>Laptop</v>
      </c>
      <c r="BN79" t="str">
        <f ca="1"/>
        <v>Electronics</v>
      </c>
      <c r="BO79">
        <f ca="1"/>
        <v>1</v>
      </c>
      <c r="BP79">
        <f ca="1"/>
        <v>899.99</v>
      </c>
      <c r="BQ79" t="str">
        <f ca="1"/>
        <v>PayPal</v>
      </c>
      <c r="BR79" t="str">
        <f ca="1"/>
        <v>North</v>
      </c>
      <c r="BS79" t="str">
        <f ca="1"/>
        <v>Premium</v>
      </c>
      <c r="BT79">
        <f ca="1"/>
        <v>45050</v>
      </c>
      <c r="BU79">
        <f ca="1"/>
        <v>899.99</v>
      </c>
      <c r="BV79">
        <f ca="1"/>
        <v>46324.554708333337</v>
      </c>
      <c r="BW79" t="str">
        <f ca="1"/>
        <v>Medium</v>
      </c>
    </row>
    <row r="80" spans="1:75">
      <c r="A80" t="str">
        <f>'Raw Data'!D74</f>
        <v>Karen Hill</v>
      </c>
      <c r="B80" s="1">
        <f>'Raw Data'!M74</f>
        <v>45254</v>
      </c>
      <c r="C80">
        <f t="shared" ca="1" si="3"/>
        <v>2</v>
      </c>
      <c r="D80">
        <f t="shared" ca="1" si="4"/>
        <v>35</v>
      </c>
      <c r="E80" s="1">
        <f t="shared" si="5"/>
        <v>45260</v>
      </c>
      <c r="I80" t="str">
        <f ca="1"/>
        <v>TRX0167</v>
      </c>
      <c r="J80">
        <f ca="1"/>
        <v>45589</v>
      </c>
      <c r="K80" t="str">
        <f ca="1"/>
        <v>CUST028</v>
      </c>
      <c r="L80" t="str">
        <f ca="1"/>
        <v>Betty Campbell</v>
      </c>
      <c r="M80" t="str">
        <f ca="1"/>
        <v>P002</v>
      </c>
      <c r="N80" t="str">
        <f ca="1"/>
        <v>Smartphone</v>
      </c>
      <c r="O80" t="str">
        <f ca="1"/>
        <v>Electronics</v>
      </c>
      <c r="P80">
        <f ca="1"/>
        <v>5</v>
      </c>
      <c r="Q80">
        <f ca="1"/>
        <v>699.99</v>
      </c>
      <c r="R80" t="str">
        <f ca="1"/>
        <v>Cash</v>
      </c>
      <c r="S80" t="str">
        <f ca="1"/>
        <v>North</v>
      </c>
      <c r="T80" t="str">
        <f ca="1"/>
        <v>Premium</v>
      </c>
      <c r="U80">
        <f ca="1"/>
        <v>44635</v>
      </c>
      <c r="V80">
        <f ca="1"/>
        <v>3499.95</v>
      </c>
      <c r="W80">
        <f ca="1"/>
        <v>46324.554708333337</v>
      </c>
      <c r="X80" t="str">
        <f ca="1"/>
        <v>High</v>
      </c>
      <c r="BH80" t="str">
        <f ca="1"/>
        <v>TRX0056</v>
      </c>
      <c r="BI80">
        <f ca="1"/>
        <v>45660</v>
      </c>
      <c r="BJ80" t="str">
        <f ca="1"/>
        <v>CUST019</v>
      </c>
      <c r="BK80" t="str">
        <f ca="1"/>
        <v>Daniel King</v>
      </c>
      <c r="BL80" t="str">
        <f ca="1"/>
        <v>P010</v>
      </c>
      <c r="BM80" t="str">
        <f ca="1"/>
        <v>Keyboard</v>
      </c>
      <c r="BN80" t="str">
        <f ca="1"/>
        <v>Electronics</v>
      </c>
      <c r="BO80">
        <f ca="1"/>
        <v>2</v>
      </c>
      <c r="BP80">
        <f ca="1"/>
        <v>89.99</v>
      </c>
      <c r="BQ80" t="str">
        <f ca="1"/>
        <v>Credit Card</v>
      </c>
      <c r="BR80" t="str">
        <f ca="1"/>
        <v>South</v>
      </c>
      <c r="BS80" t="str">
        <f ca="1"/>
        <v>Premium</v>
      </c>
      <c r="BT80">
        <f ca="1"/>
        <v>44564</v>
      </c>
      <c r="BU80">
        <f ca="1"/>
        <v>179.98</v>
      </c>
      <c r="BV80">
        <f ca="1"/>
        <v>46324.554708333337</v>
      </c>
      <c r="BW80" t="str">
        <f ca="1"/>
        <v>Low</v>
      </c>
    </row>
    <row r="81" spans="1:75">
      <c r="A81" t="str">
        <f>'Raw Data'!D75</f>
        <v>Sharon Butler</v>
      </c>
      <c r="B81" s="1">
        <f>'Raw Data'!M75</f>
        <v>45179</v>
      </c>
      <c r="C81">
        <f t="shared" ca="1" si="3"/>
        <v>3</v>
      </c>
      <c r="D81">
        <f t="shared" ca="1" si="4"/>
        <v>37</v>
      </c>
      <c r="E81" s="1">
        <f t="shared" si="5"/>
        <v>45199</v>
      </c>
      <c r="I81" t="str">
        <f ca="1"/>
        <v>TRX0153</v>
      </c>
      <c r="J81">
        <f ca="1"/>
        <v>45592</v>
      </c>
      <c r="K81" t="str">
        <f ca="1"/>
        <v>CUST049</v>
      </c>
      <c r="L81" t="str">
        <f ca="1"/>
        <v>Raymond Ross</v>
      </c>
      <c r="M81" t="str">
        <f ca="1"/>
        <v>P010</v>
      </c>
      <c r="N81" t="str">
        <f ca="1"/>
        <v>Keyboard</v>
      </c>
      <c r="O81" t="str">
        <f ca="1"/>
        <v>Electronics</v>
      </c>
      <c r="P81">
        <f ca="1"/>
        <v>3</v>
      </c>
      <c r="Q81">
        <f ca="1"/>
        <v>89.99</v>
      </c>
      <c r="R81" t="str">
        <f ca="1"/>
        <v>Credit Card</v>
      </c>
      <c r="S81" t="str">
        <f ca="1"/>
        <v>North</v>
      </c>
      <c r="T81" t="str">
        <f ca="1"/>
        <v>Standard</v>
      </c>
      <c r="U81">
        <f ca="1"/>
        <v>44615</v>
      </c>
      <c r="V81">
        <f ca="1"/>
        <v>269.97000000000003</v>
      </c>
      <c r="W81">
        <f ca="1"/>
        <v>46324.554708333337</v>
      </c>
      <c r="X81" t="str">
        <f ca="1"/>
        <v>Low</v>
      </c>
      <c r="BH81" t="str">
        <f ca="1"/>
        <v>TRX0026</v>
      </c>
      <c r="BI81">
        <f ca="1"/>
        <v>45661</v>
      </c>
      <c r="BJ81" t="str">
        <f ca="1"/>
        <v>CUST037</v>
      </c>
      <c r="BK81" t="str">
        <f ca="1"/>
        <v>Arthur Edwards</v>
      </c>
      <c r="BL81" t="str">
        <f ca="1"/>
        <v>P001</v>
      </c>
      <c r="BM81" t="str">
        <f ca="1"/>
        <v>Laptop</v>
      </c>
      <c r="BN81" t="str">
        <f ca="1"/>
        <v>Electronics</v>
      </c>
      <c r="BO81">
        <f ca="1"/>
        <v>1</v>
      </c>
      <c r="BP81">
        <f ca="1"/>
        <v>899.99</v>
      </c>
      <c r="BQ81" t="str">
        <f ca="1"/>
        <v>PayPal</v>
      </c>
      <c r="BR81" t="str">
        <f ca="1"/>
        <v>North</v>
      </c>
      <c r="BS81" t="str">
        <f ca="1"/>
        <v>Standard</v>
      </c>
      <c r="BT81">
        <f ca="1"/>
        <v>44752</v>
      </c>
      <c r="BU81">
        <f ca="1"/>
        <v>899.99</v>
      </c>
      <c r="BV81">
        <f ca="1"/>
        <v>46324.554708333337</v>
      </c>
      <c r="BW81" t="str">
        <f ca="1"/>
        <v>Medium</v>
      </c>
    </row>
    <row r="82" spans="1:75">
      <c r="A82" t="str">
        <f>'Raw Data'!D76</f>
        <v>Joseph Jackson</v>
      </c>
      <c r="B82" s="1">
        <f>'Raw Data'!M76</f>
        <v>44899</v>
      </c>
      <c r="C82">
        <f t="shared" ca="1" si="3"/>
        <v>3</v>
      </c>
      <c r="D82">
        <f t="shared" ca="1" si="4"/>
        <v>46</v>
      </c>
      <c r="E82" s="1">
        <f t="shared" si="5"/>
        <v>44926</v>
      </c>
      <c r="I82" t="str">
        <f ca="1"/>
        <v>TRX0057</v>
      </c>
      <c r="J82">
        <f ca="1"/>
        <v>45597</v>
      </c>
      <c r="K82" t="str">
        <f ca="1"/>
        <v>CUST023</v>
      </c>
      <c r="L82" t="str">
        <f ca="1"/>
        <v>Paul Baker</v>
      </c>
      <c r="M82" t="str">
        <f ca="1"/>
        <v>P009</v>
      </c>
      <c r="N82" t="str">
        <f ca="1"/>
        <v>Monitor</v>
      </c>
      <c r="O82" t="str">
        <f ca="1"/>
        <v>Electronics</v>
      </c>
      <c r="P82">
        <f ca="1"/>
        <v>5</v>
      </c>
      <c r="Q82">
        <f ca="1"/>
        <v>249.99</v>
      </c>
      <c r="R82" t="str">
        <f ca="1"/>
        <v>Credit Card</v>
      </c>
      <c r="S82" t="str">
        <f ca="1"/>
        <v>South</v>
      </c>
      <c r="T82" t="str">
        <f ca="1"/>
        <v>Standard</v>
      </c>
      <c r="U82">
        <f ca="1"/>
        <v>44881</v>
      </c>
      <c r="V82">
        <f ca="1"/>
        <v>1249.95</v>
      </c>
      <c r="W82">
        <f ca="1"/>
        <v>46324.554708333337</v>
      </c>
      <c r="X82" t="str">
        <f ca="1"/>
        <v>High</v>
      </c>
      <c r="BH82" t="str">
        <f ca="1"/>
        <v>TRX0091</v>
      </c>
      <c r="BI82">
        <f ca="1"/>
        <v>45663</v>
      </c>
      <c r="BJ82" t="str">
        <f ca="1"/>
        <v>CUST003</v>
      </c>
      <c r="BK82" t="str">
        <f ca="1"/>
        <v>Michael Brown</v>
      </c>
      <c r="BL82" t="str">
        <f ca="1"/>
        <v>P007</v>
      </c>
      <c r="BM82" t="str">
        <f ca="1"/>
        <v>Desk</v>
      </c>
      <c r="BN82" t="str">
        <f ca="1"/>
        <v>Furniture</v>
      </c>
      <c r="BO82">
        <f ca="1"/>
        <v>3</v>
      </c>
      <c r="BP82">
        <f ca="1"/>
        <v>299.99</v>
      </c>
      <c r="BQ82" t="str">
        <f ca="1"/>
        <v>Cash</v>
      </c>
      <c r="BR82" t="str">
        <f ca="1"/>
        <v>South</v>
      </c>
      <c r="BS82" t="str">
        <f ca="1"/>
        <v>Standard</v>
      </c>
      <c r="BT82">
        <f ca="1"/>
        <v>44422</v>
      </c>
      <c r="BU82">
        <f ca="1"/>
        <v>899.97</v>
      </c>
      <c r="BV82">
        <f ca="1"/>
        <v>46324.554708333337</v>
      </c>
      <c r="BW82" t="str">
        <f ca="1"/>
        <v>Medium</v>
      </c>
    </row>
    <row r="83" spans="1:75">
      <c r="A83" t="str">
        <f>'Raw Data'!D77</f>
        <v>David Martinez</v>
      </c>
      <c r="B83" s="1">
        <f>'Raw Data'!M77</f>
        <v>45152</v>
      </c>
      <c r="C83">
        <f t="shared" ca="1" si="3"/>
        <v>3</v>
      </c>
      <c r="D83">
        <f t="shared" ca="1" si="4"/>
        <v>38</v>
      </c>
      <c r="E83" s="1">
        <f t="shared" si="5"/>
        <v>45169</v>
      </c>
      <c r="I83" t="str">
        <f ca="1"/>
        <v>TRX0060</v>
      </c>
      <c r="J83">
        <f ca="1"/>
        <v>45603</v>
      </c>
      <c r="K83" t="str">
        <f ca="1"/>
        <v>CUST012</v>
      </c>
      <c r="L83" t="str">
        <f ca="1"/>
        <v>Patricia Moore</v>
      </c>
      <c r="M83" t="str">
        <f ca="1"/>
        <v>P010</v>
      </c>
      <c r="N83" t="str">
        <f ca="1"/>
        <v>Keyboard</v>
      </c>
      <c r="O83" t="str">
        <f ca="1"/>
        <v>Electronics</v>
      </c>
      <c r="P83">
        <f ca="1"/>
        <v>3</v>
      </c>
      <c r="Q83">
        <f ca="1"/>
        <v>89.99</v>
      </c>
      <c r="R83" t="str">
        <f ca="1"/>
        <v>Credit Card</v>
      </c>
      <c r="S83" t="str">
        <f ca="1"/>
        <v>North</v>
      </c>
      <c r="T83" t="str">
        <f ca="1"/>
        <v>Premium</v>
      </c>
      <c r="U83">
        <f ca="1"/>
        <v>44420</v>
      </c>
      <c r="V83">
        <f ca="1"/>
        <v>269.97000000000003</v>
      </c>
      <c r="W83">
        <f ca="1"/>
        <v>46324.554708333337</v>
      </c>
      <c r="X83" t="str">
        <f ca="1"/>
        <v>Low</v>
      </c>
      <c r="BH83" t="str">
        <f ca="1"/>
        <v>TRX0243</v>
      </c>
      <c r="BI83">
        <f ca="1"/>
        <v>45667</v>
      </c>
      <c r="BJ83" t="str">
        <f ca="1"/>
        <v>CUST048</v>
      </c>
      <c r="BK83" t="str">
        <f ca="1"/>
        <v>Virginia Sanders</v>
      </c>
      <c r="BL83" t="str">
        <f ca="1"/>
        <v>P009</v>
      </c>
      <c r="BM83" t="str">
        <f ca="1"/>
        <v>Monitor</v>
      </c>
      <c r="BN83" t="str">
        <f ca="1"/>
        <v>Electronics</v>
      </c>
      <c r="BO83">
        <f ca="1"/>
        <v>5</v>
      </c>
      <c r="BP83">
        <f ca="1"/>
        <v>249.99</v>
      </c>
      <c r="BQ83" t="str">
        <f ca="1"/>
        <v>Credit Card</v>
      </c>
      <c r="BR83" t="str">
        <f ca="1"/>
        <v>South</v>
      </c>
      <c r="BS83" t="str">
        <f ca="1"/>
        <v>Basic</v>
      </c>
      <c r="BT83">
        <f ca="1"/>
        <v>45330</v>
      </c>
      <c r="BU83">
        <f ca="1"/>
        <v>1249.95</v>
      </c>
      <c r="BV83">
        <f ca="1"/>
        <v>46324.554708333337</v>
      </c>
      <c r="BW83" t="str">
        <f ca="1"/>
        <v>High</v>
      </c>
    </row>
    <row r="84" spans="1:75">
      <c r="A84" t="str">
        <f>'Raw Data'!D78</f>
        <v>Gerald Murphy</v>
      </c>
      <c r="B84" s="1">
        <f>'Raw Data'!M78</f>
        <v>45127</v>
      </c>
      <c r="C84">
        <f t="shared" ca="1" si="3"/>
        <v>3</v>
      </c>
      <c r="D84">
        <f t="shared" ca="1" si="4"/>
        <v>39</v>
      </c>
      <c r="E84" s="1">
        <f t="shared" si="5"/>
        <v>45138</v>
      </c>
      <c r="I84" t="str">
        <f ca="1"/>
        <v>TRX0090</v>
      </c>
      <c r="J84">
        <f ca="1"/>
        <v>45605</v>
      </c>
      <c r="K84" t="str">
        <f ca="1"/>
        <v>CUST020</v>
      </c>
      <c r="L84" t="str">
        <f ca="1"/>
        <v>Margaret Wright</v>
      </c>
      <c r="M84" t="str">
        <f ca="1"/>
        <v>P009</v>
      </c>
      <c r="N84" t="str">
        <f ca="1"/>
        <v>Monitor</v>
      </c>
      <c r="O84" t="str">
        <f ca="1"/>
        <v>Electronics</v>
      </c>
      <c r="P84">
        <f ca="1"/>
        <v>1</v>
      </c>
      <c r="Q84">
        <f ca="1"/>
        <v>249.99</v>
      </c>
      <c r="R84" t="str">
        <f ca="1"/>
        <v>Credit Card</v>
      </c>
      <c r="S84" t="str">
        <f ca="1"/>
        <v>North</v>
      </c>
      <c r="T84" t="str">
        <f ca="1"/>
        <v>Premium</v>
      </c>
      <c r="U84">
        <f ca="1"/>
        <v>44828</v>
      </c>
      <c r="V84">
        <f ca="1"/>
        <v>249.99</v>
      </c>
      <c r="W84">
        <f ca="1"/>
        <v>46324.554708333337</v>
      </c>
      <c r="X84" t="str">
        <f ca="1"/>
        <v>Low</v>
      </c>
      <c r="BH84" t="str">
        <f ca="1"/>
        <v>TRX0238</v>
      </c>
      <c r="BI84">
        <f ca="1"/>
        <v>45668</v>
      </c>
      <c r="BJ84" t="str">
        <f ca="1"/>
        <v>CUST038</v>
      </c>
      <c r="BK84" t="str">
        <f ca="1"/>
        <v>Michelle Rogers</v>
      </c>
      <c r="BL84" t="str">
        <f ca="1"/>
        <v>P002</v>
      </c>
      <c r="BM84" t="str">
        <f ca="1"/>
        <v>Smartphone</v>
      </c>
      <c r="BN84" t="str">
        <f ca="1"/>
        <v>Electronics</v>
      </c>
      <c r="BO84">
        <f ca="1"/>
        <v>3</v>
      </c>
      <c r="BP84">
        <f ca="1"/>
        <v>699.99</v>
      </c>
      <c r="BQ84" t="str">
        <f ca="1"/>
        <v>Cash</v>
      </c>
      <c r="BR84" t="str">
        <f ca="1"/>
        <v>North</v>
      </c>
      <c r="BS84" t="str">
        <f ca="1"/>
        <v>Premium</v>
      </c>
      <c r="BT84">
        <f ca="1"/>
        <v>44602</v>
      </c>
      <c r="BU84">
        <f ca="1"/>
        <v>2099.9699999999998</v>
      </c>
      <c r="BV84">
        <f ca="1"/>
        <v>46324.554708333337</v>
      </c>
      <c r="BW84" t="str">
        <f ca="1"/>
        <v>High</v>
      </c>
    </row>
    <row r="85" spans="1:75">
      <c r="A85" t="str">
        <f>'Raw Data'!D79</f>
        <v>Barbara Young</v>
      </c>
      <c r="B85" s="1">
        <f>'Raw Data'!M79</f>
        <v>45164</v>
      </c>
      <c r="C85">
        <f t="shared" ca="1" si="3"/>
        <v>3</v>
      </c>
      <c r="D85">
        <f t="shared" ca="1" si="4"/>
        <v>38</v>
      </c>
      <c r="E85" s="1">
        <f t="shared" si="5"/>
        <v>45169</v>
      </c>
      <c r="I85" t="str">
        <f ca="1"/>
        <v>TRX0035</v>
      </c>
      <c r="J85">
        <f ca="1"/>
        <v>45607</v>
      </c>
      <c r="K85" t="str">
        <f ca="1"/>
        <v>CUST041</v>
      </c>
      <c r="L85" t="str">
        <f ca="1"/>
        <v>Peter Richardson</v>
      </c>
      <c r="M85" t="str">
        <f ca="1"/>
        <v>P003</v>
      </c>
      <c r="N85" t="str">
        <f ca="1"/>
        <v>Headphones</v>
      </c>
      <c r="O85" t="str">
        <f ca="1"/>
        <v>Electronics</v>
      </c>
      <c r="P85">
        <f ca="1"/>
        <v>3</v>
      </c>
      <c r="Q85">
        <f ca="1"/>
        <v>149.99</v>
      </c>
      <c r="R85" t="str">
        <f ca="1"/>
        <v>Cash</v>
      </c>
      <c r="S85" t="str">
        <f ca="1"/>
        <v>North</v>
      </c>
      <c r="T85" t="str">
        <f ca="1"/>
        <v>Basic</v>
      </c>
      <c r="U85">
        <f ca="1"/>
        <v>44769</v>
      </c>
      <c r="V85">
        <f ca="1"/>
        <v>449.97</v>
      </c>
      <c r="W85">
        <f ca="1"/>
        <v>46324.554708333337</v>
      </c>
      <c r="X85" t="str">
        <f ca="1"/>
        <v>Low</v>
      </c>
      <c r="BH85" t="str">
        <f ca="1"/>
        <v>TRX0102</v>
      </c>
      <c r="BI85">
        <f ca="1"/>
        <v>45670</v>
      </c>
      <c r="BJ85" t="str">
        <f ca="1"/>
        <v>CUST045</v>
      </c>
      <c r="BK85" t="str">
        <f ca="1"/>
        <v>Douglas Watson</v>
      </c>
      <c r="BL85" t="str">
        <f ca="1"/>
        <v>P004</v>
      </c>
      <c r="BM85" t="str">
        <f ca="1"/>
        <v>Coffee Maker</v>
      </c>
      <c r="BN85" t="str">
        <f ca="1"/>
        <v>Appliances</v>
      </c>
      <c r="BO85">
        <f ca="1"/>
        <v>1</v>
      </c>
      <c r="BP85">
        <f ca="1"/>
        <v>79.989999999999995</v>
      </c>
      <c r="BQ85" t="str">
        <f ca="1"/>
        <v>Credit Card</v>
      </c>
      <c r="BR85" t="str">
        <f ca="1"/>
        <v>South</v>
      </c>
      <c r="BS85" t="str">
        <f ca="1"/>
        <v>Basic</v>
      </c>
      <c r="BT85">
        <f ca="1"/>
        <v>45322</v>
      </c>
      <c r="BU85">
        <f ca="1"/>
        <v>79.989999999999995</v>
      </c>
      <c r="BV85">
        <f ca="1"/>
        <v>46324.554708333337</v>
      </c>
      <c r="BW85" t="str">
        <f ca="1"/>
        <v>Low</v>
      </c>
    </row>
    <row r="86" spans="1:75">
      <c r="A86" t="str">
        <f>'Raw Data'!D80</f>
        <v>Daniel King</v>
      </c>
      <c r="B86" s="1">
        <f>'Raw Data'!M80</f>
        <v>44982</v>
      </c>
      <c r="C86">
        <f t="shared" ca="1" si="3"/>
        <v>3</v>
      </c>
      <c r="D86">
        <f t="shared" ca="1" si="4"/>
        <v>44</v>
      </c>
      <c r="E86" s="1">
        <f t="shared" si="5"/>
        <v>44985</v>
      </c>
      <c r="I86" t="str">
        <f ca="1"/>
        <v>TRX0076</v>
      </c>
      <c r="J86">
        <f ca="1"/>
        <v>45607</v>
      </c>
      <c r="K86" t="str">
        <f ca="1"/>
        <v>CUST012</v>
      </c>
      <c r="L86" t="str">
        <f ca="1"/>
        <v>Patricia Moore</v>
      </c>
      <c r="M86" t="str">
        <f ca="1"/>
        <v>P009</v>
      </c>
      <c r="N86" t="str">
        <f ca="1"/>
        <v>Monitor</v>
      </c>
      <c r="O86" t="str">
        <f ca="1"/>
        <v>Electronics</v>
      </c>
      <c r="P86">
        <f ca="1"/>
        <v>4</v>
      </c>
      <c r="Q86">
        <f ca="1"/>
        <v>249.99</v>
      </c>
      <c r="R86" t="str">
        <f ca="1"/>
        <v>Credit Card</v>
      </c>
      <c r="S86" t="str">
        <f ca="1"/>
        <v>West</v>
      </c>
      <c r="T86" t="str">
        <f ca="1"/>
        <v>Standard</v>
      </c>
      <c r="U86">
        <f ca="1"/>
        <v>44659</v>
      </c>
      <c r="V86">
        <f ca="1"/>
        <v>999.96</v>
      </c>
      <c r="W86">
        <f ca="1"/>
        <v>46324.554708333337</v>
      </c>
      <c r="X86" t="str">
        <f ca="1"/>
        <v>Medium</v>
      </c>
      <c r="BH86" t="str">
        <f ca="1"/>
        <v>TRX0022</v>
      </c>
      <c r="BI86">
        <f ca="1"/>
        <v>45670</v>
      </c>
      <c r="BJ86" t="str">
        <f ca="1"/>
        <v>CUST025</v>
      </c>
      <c r="BK86" t="str">
        <f ca="1"/>
        <v>Mark Carter</v>
      </c>
      <c r="BL86" t="str">
        <f ca="1"/>
        <v>P007</v>
      </c>
      <c r="BM86" t="str">
        <f ca="1"/>
        <v>Desk</v>
      </c>
      <c r="BN86" t="str">
        <f ca="1"/>
        <v>Furniture</v>
      </c>
      <c r="BO86">
        <f ca="1"/>
        <v>1</v>
      </c>
      <c r="BP86">
        <f ca="1"/>
        <v>299.99</v>
      </c>
      <c r="BQ86" t="str">
        <f ca="1"/>
        <v>Credit Card</v>
      </c>
      <c r="BR86" t="str">
        <f ca="1"/>
        <v>North</v>
      </c>
      <c r="BS86" t="str">
        <f ca="1"/>
        <v>Basic</v>
      </c>
      <c r="BT86">
        <f ca="1"/>
        <v>44436</v>
      </c>
      <c r="BU86">
        <f ca="1"/>
        <v>299.99</v>
      </c>
      <c r="BV86">
        <f ca="1"/>
        <v>46324.554708333337</v>
      </c>
      <c r="BW86" t="str">
        <f ca="1"/>
        <v>Low</v>
      </c>
    </row>
    <row r="87" spans="1:75">
      <c r="A87" t="str">
        <f>'Raw Data'!D81</f>
        <v>Mark Carter</v>
      </c>
      <c r="B87" s="1">
        <f>'Raw Data'!M81</f>
        <v>44976</v>
      </c>
      <c r="C87">
        <f t="shared" ca="1" si="3"/>
        <v>3</v>
      </c>
      <c r="D87">
        <f t="shared" ca="1" si="4"/>
        <v>44</v>
      </c>
      <c r="E87" s="1">
        <f t="shared" si="5"/>
        <v>44985</v>
      </c>
      <c r="I87" t="str">
        <f ca="1"/>
        <v>TRX0033</v>
      </c>
      <c r="J87">
        <f ca="1"/>
        <v>45613</v>
      </c>
      <c r="K87" t="str">
        <f ca="1"/>
        <v>CUST025</v>
      </c>
      <c r="L87" t="str">
        <f ca="1"/>
        <v>Mark Carter</v>
      </c>
      <c r="M87" t="str">
        <f ca="1"/>
        <v>P002</v>
      </c>
      <c r="N87" t="str">
        <f ca="1"/>
        <v>Smartphone</v>
      </c>
      <c r="O87" t="str">
        <f ca="1"/>
        <v>Electronics</v>
      </c>
      <c r="P87">
        <f ca="1"/>
        <v>2</v>
      </c>
      <c r="Q87">
        <f ca="1"/>
        <v>699.99</v>
      </c>
      <c r="R87" t="str">
        <f ca="1"/>
        <v>PayPal</v>
      </c>
      <c r="S87" t="str">
        <f ca="1"/>
        <v>West</v>
      </c>
      <c r="T87" t="str">
        <f ca="1"/>
        <v>Standard</v>
      </c>
      <c r="U87">
        <f ca="1"/>
        <v>44770</v>
      </c>
      <c r="V87">
        <f ca="1"/>
        <v>1399.98</v>
      </c>
      <c r="W87">
        <f ca="1"/>
        <v>46324.554708333337</v>
      </c>
      <c r="X87" t="str">
        <f ca="1"/>
        <v>High</v>
      </c>
      <c r="BH87" t="str">
        <f ca="1"/>
        <v>TRX0087</v>
      </c>
      <c r="BI87">
        <f ca="1"/>
        <v>45671</v>
      </c>
      <c r="BJ87" t="str">
        <f ca="1"/>
        <v>CUST028</v>
      </c>
      <c r="BK87" t="str">
        <f ca="1"/>
        <v>Betty Campbell</v>
      </c>
      <c r="BL87" t="str">
        <f ca="1"/>
        <v>P009</v>
      </c>
      <c r="BM87" t="str">
        <f ca="1"/>
        <v>Monitor</v>
      </c>
      <c r="BN87" t="str">
        <f ca="1"/>
        <v>Electronics</v>
      </c>
      <c r="BO87">
        <f ca="1"/>
        <v>4</v>
      </c>
      <c r="BP87">
        <f ca="1"/>
        <v>249.99</v>
      </c>
      <c r="BQ87" t="str">
        <f ca="1"/>
        <v>Credit Card</v>
      </c>
      <c r="BR87" t="str">
        <f ca="1"/>
        <v>North</v>
      </c>
      <c r="BS87" t="str">
        <f ca="1"/>
        <v>Premium</v>
      </c>
      <c r="BT87">
        <f ca="1"/>
        <v>44460</v>
      </c>
      <c r="BU87">
        <f ca="1"/>
        <v>999.96</v>
      </c>
      <c r="BV87">
        <f ca="1"/>
        <v>46324.554708333337</v>
      </c>
      <c r="BW87" t="str">
        <f ca="1"/>
        <v>Medium</v>
      </c>
    </row>
    <row r="88" spans="1:75">
      <c r="A88" t="str">
        <f>'Raw Data'!D82</f>
        <v>Daniel King</v>
      </c>
      <c r="B88" s="1">
        <f>'Raw Data'!M82</f>
        <v>44732</v>
      </c>
      <c r="C88">
        <f t="shared" ca="1" si="3"/>
        <v>4</v>
      </c>
      <c r="D88">
        <f t="shared" ca="1" si="4"/>
        <v>52</v>
      </c>
      <c r="E88" s="1">
        <f t="shared" si="5"/>
        <v>44742</v>
      </c>
      <c r="I88" t="str">
        <f ca="1"/>
        <v>TRX0148</v>
      </c>
      <c r="J88">
        <f ca="1"/>
        <v>45619</v>
      </c>
      <c r="K88" t="str">
        <f ca="1"/>
        <v>CUST004</v>
      </c>
      <c r="L88" t="str">
        <f ca="1"/>
        <v>Sarah Davis</v>
      </c>
      <c r="M88" t="str">
        <f ca="1"/>
        <v>P002</v>
      </c>
      <c r="N88" t="str">
        <f ca="1"/>
        <v>Smartphone</v>
      </c>
      <c r="O88" t="str">
        <f ca="1"/>
        <v>Electronics</v>
      </c>
      <c r="P88">
        <f ca="1"/>
        <v>3</v>
      </c>
      <c r="Q88">
        <f ca="1"/>
        <v>699.99</v>
      </c>
      <c r="R88" t="str">
        <f ca="1"/>
        <v>PayPal</v>
      </c>
      <c r="S88" t="str">
        <f ca="1"/>
        <v>West</v>
      </c>
      <c r="T88" t="str">
        <f ca="1"/>
        <v>Standard</v>
      </c>
      <c r="U88">
        <f ca="1"/>
        <v>44583</v>
      </c>
      <c r="V88">
        <f ca="1"/>
        <v>2099.9699999999998</v>
      </c>
      <c r="W88">
        <f ca="1"/>
        <v>46324.554708333337</v>
      </c>
      <c r="X88" t="str">
        <f ca="1"/>
        <v>High</v>
      </c>
      <c r="BH88" t="str">
        <f ca="1"/>
        <v>TRX0107</v>
      </c>
      <c r="BI88">
        <f ca="1"/>
        <v>45671</v>
      </c>
      <c r="BJ88" t="str">
        <f ca="1"/>
        <v>CUST030</v>
      </c>
      <c r="BK88" t="str">
        <f ca="1"/>
        <v>Helen Roberts</v>
      </c>
      <c r="BL88" t="str">
        <f ca="1"/>
        <v>P003</v>
      </c>
      <c r="BM88" t="str">
        <f ca="1"/>
        <v>Headphones</v>
      </c>
      <c r="BN88" t="str">
        <f ca="1"/>
        <v>Electronics</v>
      </c>
      <c r="BO88">
        <f ca="1"/>
        <v>2</v>
      </c>
      <c r="BP88">
        <f ca="1"/>
        <v>149.99</v>
      </c>
      <c r="BQ88" t="str">
        <f ca="1"/>
        <v>Cash</v>
      </c>
      <c r="BR88" t="str">
        <f ca="1"/>
        <v>North</v>
      </c>
      <c r="BS88" t="str">
        <f ca="1"/>
        <v>Standard</v>
      </c>
      <c r="BT88">
        <f ca="1"/>
        <v>44913</v>
      </c>
      <c r="BU88">
        <f ca="1"/>
        <v>299.98</v>
      </c>
      <c r="BV88">
        <f ca="1"/>
        <v>46324.554708333337</v>
      </c>
      <c r="BW88" t="str">
        <f ca="1"/>
        <v>Low</v>
      </c>
    </row>
    <row r="89" spans="1:75">
      <c r="A89" t="str">
        <f>'Raw Data'!D83</f>
        <v>Mark Carter</v>
      </c>
      <c r="B89" s="1">
        <f>'Raw Data'!M83</f>
        <v>44999</v>
      </c>
      <c r="C89">
        <f t="shared" ca="1" si="3"/>
        <v>3</v>
      </c>
      <c r="D89">
        <f t="shared" ca="1" si="4"/>
        <v>43</v>
      </c>
      <c r="E89" s="1">
        <f t="shared" si="5"/>
        <v>45016</v>
      </c>
      <c r="I89" t="str">
        <f ca="1"/>
        <v>TRX0012</v>
      </c>
      <c r="J89">
        <f ca="1"/>
        <v>45622</v>
      </c>
      <c r="K89" t="str">
        <f ca="1"/>
        <v>CUST045</v>
      </c>
      <c r="L89" t="str">
        <f ca="1"/>
        <v>Douglas Watson</v>
      </c>
      <c r="M89" t="str">
        <f ca="1"/>
        <v>P009</v>
      </c>
      <c r="N89" t="str">
        <f ca="1"/>
        <v>Monitor</v>
      </c>
      <c r="O89" t="str">
        <f ca="1"/>
        <v>Electronics</v>
      </c>
      <c r="P89">
        <f ca="1"/>
        <v>5</v>
      </c>
      <c r="Q89">
        <f ca="1"/>
        <v>249.99</v>
      </c>
      <c r="R89" t="str">
        <f ca="1"/>
        <v>Credit Card</v>
      </c>
      <c r="S89" t="str">
        <f ca="1"/>
        <v>North</v>
      </c>
      <c r="T89" t="str">
        <f ca="1"/>
        <v>Basic</v>
      </c>
      <c r="U89">
        <f ca="1"/>
        <v>44873</v>
      </c>
      <c r="V89">
        <f ca="1"/>
        <v>1249.95</v>
      </c>
      <c r="W89">
        <f ca="1"/>
        <v>46324.554708333337</v>
      </c>
      <c r="X89" t="str">
        <f ca="1"/>
        <v>High</v>
      </c>
      <c r="BH89" t="str">
        <f ca="1"/>
        <v>TRX0051</v>
      </c>
      <c r="BI89">
        <f ca="1"/>
        <v>45671</v>
      </c>
      <c r="BJ89" t="str">
        <f ca="1"/>
        <v>CUST032</v>
      </c>
      <c r="BK89" t="str">
        <f ca="1"/>
        <v>Sandra Phillips</v>
      </c>
      <c r="BL89" t="str">
        <f ca="1"/>
        <v>P007</v>
      </c>
      <c r="BM89" t="str">
        <f ca="1"/>
        <v>Desk</v>
      </c>
      <c r="BN89" t="str">
        <f ca="1"/>
        <v>Furniture</v>
      </c>
      <c r="BO89">
        <f ca="1"/>
        <v>3</v>
      </c>
      <c r="BP89">
        <f ca="1"/>
        <v>299.99</v>
      </c>
      <c r="BQ89" t="str">
        <f ca="1"/>
        <v>Credit Card</v>
      </c>
      <c r="BR89" t="str">
        <f ca="1"/>
        <v>South</v>
      </c>
      <c r="BS89" t="str">
        <f ca="1"/>
        <v>Basic</v>
      </c>
      <c r="BT89">
        <f ca="1"/>
        <v>45204</v>
      </c>
      <c r="BU89">
        <f ca="1"/>
        <v>899.97</v>
      </c>
      <c r="BV89">
        <f ca="1"/>
        <v>46324.554708333337</v>
      </c>
      <c r="BW89" t="str">
        <f ca="1"/>
        <v>Medium</v>
      </c>
    </row>
    <row r="90" spans="1:75">
      <c r="A90" t="str">
        <f>'Raw Data'!D84</f>
        <v>Helen Roberts</v>
      </c>
      <c r="B90" s="1">
        <f>'Raw Data'!M84</f>
        <v>44523</v>
      </c>
      <c r="C90">
        <f t="shared" ca="1" si="3"/>
        <v>4</v>
      </c>
      <c r="D90">
        <f t="shared" ca="1" si="4"/>
        <v>59</v>
      </c>
      <c r="E90" s="1">
        <f t="shared" si="5"/>
        <v>44530</v>
      </c>
      <c r="I90" t="str">
        <f ca="1"/>
        <v>TRX0094</v>
      </c>
      <c r="J90">
        <f ca="1"/>
        <v>45627</v>
      </c>
      <c r="K90" t="str">
        <f ca="1"/>
        <v>CUST017</v>
      </c>
      <c r="L90" t="str">
        <f ca="1"/>
        <v>Charles Allen</v>
      </c>
      <c r="M90" t="str">
        <f ca="1"/>
        <v>P009</v>
      </c>
      <c r="N90" t="str">
        <f ca="1"/>
        <v>Monitor</v>
      </c>
      <c r="O90" t="str">
        <f ca="1"/>
        <v>Electronics</v>
      </c>
      <c r="P90">
        <f ca="1"/>
        <v>5</v>
      </c>
      <c r="Q90">
        <f ca="1"/>
        <v>249.99</v>
      </c>
      <c r="R90" t="str">
        <f ca="1"/>
        <v>Cash</v>
      </c>
      <c r="S90" t="str">
        <f ca="1"/>
        <v>Central</v>
      </c>
      <c r="T90" t="str">
        <f ca="1"/>
        <v>Premium</v>
      </c>
      <c r="U90">
        <f ca="1"/>
        <v>44485</v>
      </c>
      <c r="V90">
        <f ca="1"/>
        <v>1249.95</v>
      </c>
      <c r="W90">
        <f ca="1"/>
        <v>46324.554708333337</v>
      </c>
      <c r="X90" t="str">
        <f ca="1"/>
        <v>High</v>
      </c>
      <c r="BH90" t="str">
        <f ca="1"/>
        <v>TRX0106</v>
      </c>
      <c r="BI90">
        <f ca="1"/>
        <v>45673</v>
      </c>
      <c r="BJ90" t="str">
        <f ca="1"/>
        <v>CUST039</v>
      </c>
      <c r="BK90" t="str">
        <f ca="1"/>
        <v>Lawrence Reed</v>
      </c>
      <c r="BL90" t="str">
        <f ca="1"/>
        <v>P006</v>
      </c>
      <c r="BM90" t="str">
        <f ca="1"/>
        <v>Office Chair</v>
      </c>
      <c r="BN90" t="str">
        <f ca="1"/>
        <v>Furniture</v>
      </c>
      <c r="BO90">
        <f ca="1"/>
        <v>4</v>
      </c>
      <c r="BP90">
        <f ca="1"/>
        <v>199.99</v>
      </c>
      <c r="BQ90" t="str">
        <f ca="1"/>
        <v>Debit Card</v>
      </c>
      <c r="BR90" t="str">
        <f ca="1"/>
        <v>South</v>
      </c>
      <c r="BS90" t="str">
        <f ca="1"/>
        <v>Standard</v>
      </c>
      <c r="BT90">
        <f ca="1"/>
        <v>44544</v>
      </c>
      <c r="BU90">
        <f ca="1"/>
        <v>799.96</v>
      </c>
      <c r="BV90">
        <f ca="1"/>
        <v>46324.554708333337</v>
      </c>
      <c r="BW90" t="str">
        <f ca="1"/>
        <v>Medium</v>
      </c>
    </row>
    <row r="91" spans="1:75">
      <c r="A91" t="str">
        <f>'Raw Data'!D85</f>
        <v>Elizabeth Hall</v>
      </c>
      <c r="B91" s="1">
        <f>'Raw Data'!M85</f>
        <v>44542</v>
      </c>
      <c r="C91">
        <f t="shared" ca="1" si="3"/>
        <v>4</v>
      </c>
      <c r="D91">
        <f t="shared" ca="1" si="4"/>
        <v>58</v>
      </c>
      <c r="E91" s="1">
        <f t="shared" si="5"/>
        <v>44561</v>
      </c>
      <c r="I91" t="str">
        <f ca="1"/>
        <v>TRX0133</v>
      </c>
      <c r="J91">
        <f ca="1"/>
        <v>45627</v>
      </c>
      <c r="K91" t="str">
        <f ca="1"/>
        <v>CUST013</v>
      </c>
      <c r="L91" t="str">
        <f ca="1"/>
        <v>Joseph Jackson</v>
      </c>
      <c r="M91" t="str">
        <f ca="1"/>
        <v>P003</v>
      </c>
      <c r="N91" t="str">
        <f ca="1"/>
        <v>Headphones</v>
      </c>
      <c r="O91" t="str">
        <f ca="1"/>
        <v>Electronics</v>
      </c>
      <c r="P91">
        <f ca="1"/>
        <v>2</v>
      </c>
      <c r="Q91">
        <f ca="1"/>
        <v>149.99</v>
      </c>
      <c r="R91" t="str">
        <f ca="1"/>
        <v>Cash</v>
      </c>
      <c r="S91" t="str">
        <f ca="1"/>
        <v>South</v>
      </c>
      <c r="T91" t="str">
        <f ca="1"/>
        <v>Premium</v>
      </c>
      <c r="U91">
        <f ca="1"/>
        <v>44475</v>
      </c>
      <c r="V91">
        <f ca="1"/>
        <v>299.98</v>
      </c>
      <c r="W91">
        <f ca="1"/>
        <v>46324.554708333337</v>
      </c>
      <c r="X91" t="str">
        <f ca="1"/>
        <v>Low</v>
      </c>
      <c r="BH91" t="str">
        <f ca="1"/>
        <v>TRX0069</v>
      </c>
      <c r="BI91">
        <f ca="1"/>
        <v>45688</v>
      </c>
      <c r="BJ91" t="str">
        <f ca="1"/>
        <v>CUST029</v>
      </c>
      <c r="BK91" t="str">
        <f ca="1"/>
        <v>Edward Mitchell</v>
      </c>
      <c r="BL91" t="str">
        <f ca="1"/>
        <v>P010</v>
      </c>
      <c r="BM91" t="str">
        <f ca="1"/>
        <v>Keyboard</v>
      </c>
      <c r="BN91" t="str">
        <f ca="1"/>
        <v>Electronics</v>
      </c>
      <c r="BO91">
        <f ca="1"/>
        <v>2</v>
      </c>
      <c r="BP91">
        <f ca="1"/>
        <v>89.99</v>
      </c>
      <c r="BQ91" t="str">
        <f ca="1"/>
        <v>Debit Card</v>
      </c>
      <c r="BR91" t="str">
        <f ca="1"/>
        <v>South</v>
      </c>
      <c r="BS91" t="str">
        <f ca="1"/>
        <v>Basic</v>
      </c>
      <c r="BT91">
        <f ca="1"/>
        <v>44777</v>
      </c>
      <c r="BU91">
        <f ca="1"/>
        <v>179.98</v>
      </c>
      <c r="BV91">
        <f ca="1"/>
        <v>46324.554708333337</v>
      </c>
      <c r="BW91" t="str">
        <f ca="1"/>
        <v>Low</v>
      </c>
    </row>
    <row r="92" spans="1:75">
      <c r="A92" t="str">
        <f>'Raw Data'!D86</f>
        <v>Cynthia Price</v>
      </c>
      <c r="B92" s="1">
        <f>'Raw Data'!M86</f>
        <v>44667</v>
      </c>
      <c r="C92">
        <f t="shared" ca="1" si="3"/>
        <v>4</v>
      </c>
      <c r="D92">
        <f t="shared" ca="1" si="4"/>
        <v>54</v>
      </c>
      <c r="E92" s="1">
        <f t="shared" si="5"/>
        <v>44681</v>
      </c>
      <c r="I92" t="str">
        <f ca="1"/>
        <v>TRX0201</v>
      </c>
      <c r="J92">
        <f ca="1"/>
        <v>45627</v>
      </c>
      <c r="K92" t="str">
        <f ca="1"/>
        <v>CUST025</v>
      </c>
      <c r="L92" t="str">
        <f ca="1"/>
        <v>Mark Carter</v>
      </c>
      <c r="M92" t="str">
        <f ca="1"/>
        <v>P002</v>
      </c>
      <c r="N92" t="str">
        <f ca="1"/>
        <v>Smartphone</v>
      </c>
      <c r="O92" t="str">
        <f ca="1"/>
        <v>Electronics</v>
      </c>
      <c r="P92">
        <f ca="1"/>
        <v>5</v>
      </c>
      <c r="Q92">
        <f ca="1"/>
        <v>699.99</v>
      </c>
      <c r="R92" t="str">
        <f ca="1"/>
        <v>Debit Card</v>
      </c>
      <c r="S92" t="str">
        <f ca="1"/>
        <v>West</v>
      </c>
      <c r="T92" t="str">
        <f ca="1"/>
        <v>Standard</v>
      </c>
      <c r="U92">
        <f ca="1"/>
        <v>44944</v>
      </c>
      <c r="V92">
        <f ca="1"/>
        <v>3499.95</v>
      </c>
      <c r="W92">
        <f ca="1"/>
        <v>46324.554708333337</v>
      </c>
      <c r="X92" t="str">
        <f ca="1"/>
        <v>High</v>
      </c>
      <c r="BH92" t="str">
        <f ca="1"/>
        <v>TRX0166</v>
      </c>
      <c r="BI92">
        <f ca="1"/>
        <v>45688</v>
      </c>
      <c r="BJ92" t="str">
        <f ca="1"/>
        <v>CUST003</v>
      </c>
      <c r="BK92" t="str">
        <f ca="1"/>
        <v>Michael Brown</v>
      </c>
      <c r="BL92" t="str">
        <f ca="1"/>
        <v>P010</v>
      </c>
      <c r="BM92" t="str">
        <f ca="1"/>
        <v>Keyboard</v>
      </c>
      <c r="BN92" t="str">
        <f ca="1"/>
        <v>Electronics</v>
      </c>
      <c r="BO92">
        <f ca="1"/>
        <v>3</v>
      </c>
      <c r="BP92">
        <f ca="1"/>
        <v>89.99</v>
      </c>
      <c r="BQ92" t="str">
        <f ca="1"/>
        <v>Debit Card</v>
      </c>
      <c r="BR92" t="str">
        <f ca="1"/>
        <v>South</v>
      </c>
      <c r="BS92" t="str">
        <f ca="1"/>
        <v>Premium</v>
      </c>
      <c r="BT92">
        <f ca="1"/>
        <v>45307</v>
      </c>
      <c r="BU92">
        <f ca="1"/>
        <v>269.97000000000003</v>
      </c>
      <c r="BV92">
        <f ca="1"/>
        <v>46324.554708333337</v>
      </c>
      <c r="BW92" t="str">
        <f ca="1"/>
        <v>Low</v>
      </c>
    </row>
    <row r="93" spans="1:75">
      <c r="A93" t="str">
        <f>'Raw Data'!D87</f>
        <v>Maria Garcia</v>
      </c>
      <c r="B93" s="1">
        <f>'Raw Data'!M87</f>
        <v>45393</v>
      </c>
      <c r="C93">
        <f t="shared" ca="1" si="3"/>
        <v>2</v>
      </c>
      <c r="D93">
        <f t="shared" ca="1" si="4"/>
        <v>30</v>
      </c>
      <c r="E93" s="1">
        <f t="shared" si="5"/>
        <v>45412</v>
      </c>
      <c r="I93" t="str">
        <f ca="1"/>
        <v>TRX0137</v>
      </c>
      <c r="J93">
        <f ca="1"/>
        <v>45629</v>
      </c>
      <c r="K93" t="str">
        <f ca="1"/>
        <v>CUST011</v>
      </c>
      <c r="L93" t="str">
        <f ca="1"/>
        <v>William White</v>
      </c>
      <c r="M93" t="str">
        <f ca="1"/>
        <v>P009</v>
      </c>
      <c r="N93" t="str">
        <f ca="1"/>
        <v>Monitor</v>
      </c>
      <c r="O93" t="str">
        <f ca="1"/>
        <v>Electronics</v>
      </c>
      <c r="P93">
        <f ca="1"/>
        <v>4</v>
      </c>
      <c r="Q93">
        <f ca="1"/>
        <v>249.99</v>
      </c>
      <c r="R93" t="str">
        <f ca="1"/>
        <v>PayPal</v>
      </c>
      <c r="S93" t="str">
        <f ca="1"/>
        <v>East</v>
      </c>
      <c r="T93" t="str">
        <f ca="1"/>
        <v>Premium</v>
      </c>
      <c r="U93">
        <f ca="1"/>
        <v>45098</v>
      </c>
      <c r="V93">
        <f ca="1"/>
        <v>999.96</v>
      </c>
      <c r="W93">
        <f ca="1"/>
        <v>46324.554708333337</v>
      </c>
      <c r="X93" t="str">
        <f ca="1"/>
        <v>Medium</v>
      </c>
      <c r="BH93" t="str">
        <f ca="1"/>
        <v>TRX0024</v>
      </c>
      <c r="BI93">
        <f ca="1"/>
        <v>45695</v>
      </c>
      <c r="BJ93" t="str">
        <f ca="1"/>
        <v>CUST042</v>
      </c>
      <c r="BK93" t="str">
        <f ca="1"/>
        <v>Ruth Brooks</v>
      </c>
      <c r="BL93" t="str">
        <f ca="1"/>
        <v>P008</v>
      </c>
      <c r="BM93" t="str">
        <f ca="1"/>
        <v>Bookshelf</v>
      </c>
      <c r="BN93" t="str">
        <f ca="1"/>
        <v>Furniture</v>
      </c>
      <c r="BO93">
        <f ca="1"/>
        <v>3</v>
      </c>
      <c r="BP93">
        <f ca="1"/>
        <v>149.99</v>
      </c>
      <c r="BQ93" t="str">
        <f ca="1"/>
        <v>Debit Card</v>
      </c>
      <c r="BR93" t="str">
        <f ca="1"/>
        <v>North</v>
      </c>
      <c r="BS93" t="str">
        <f ca="1"/>
        <v>Premium</v>
      </c>
      <c r="BT93">
        <f ca="1"/>
        <v>44564</v>
      </c>
      <c r="BU93">
        <f ca="1"/>
        <v>449.97</v>
      </c>
      <c r="BV93">
        <f ca="1"/>
        <v>46324.554708333337</v>
      </c>
      <c r="BW93" t="str">
        <f ca="1"/>
        <v>Low</v>
      </c>
    </row>
    <row r="94" spans="1:75">
      <c r="A94" t="str">
        <f>'Raw Data'!D88</f>
        <v>Mark Carter</v>
      </c>
      <c r="B94" s="1">
        <f>'Raw Data'!M88</f>
        <v>44965</v>
      </c>
      <c r="C94">
        <f t="shared" ca="1" si="3"/>
        <v>3</v>
      </c>
      <c r="D94">
        <f t="shared" ca="1" si="4"/>
        <v>44</v>
      </c>
      <c r="E94" s="1">
        <f t="shared" si="5"/>
        <v>44985</v>
      </c>
      <c r="I94" t="str">
        <f ca="1"/>
        <v>TRX0066</v>
      </c>
      <c r="J94">
        <f ca="1"/>
        <v>45630</v>
      </c>
      <c r="K94" t="str">
        <f ca="1"/>
        <v>CUST024</v>
      </c>
      <c r="L94" t="str">
        <f ca="1"/>
        <v>Dorothy Nelson</v>
      </c>
      <c r="M94" t="str">
        <f ca="1"/>
        <v>P002</v>
      </c>
      <c r="N94" t="str">
        <f ca="1"/>
        <v>Smartphone</v>
      </c>
      <c r="O94" t="str">
        <f ca="1"/>
        <v>Electronics</v>
      </c>
      <c r="P94">
        <f ca="1"/>
        <v>4</v>
      </c>
      <c r="Q94">
        <f ca="1"/>
        <v>699.99</v>
      </c>
      <c r="R94" t="str">
        <f ca="1"/>
        <v>Credit Card</v>
      </c>
      <c r="S94" t="str">
        <f ca="1"/>
        <v>North</v>
      </c>
      <c r="T94" t="str">
        <f ca="1"/>
        <v>Premium</v>
      </c>
      <c r="U94">
        <f ca="1"/>
        <v>44703</v>
      </c>
      <c r="V94">
        <f ca="1"/>
        <v>2799.96</v>
      </c>
      <c r="W94">
        <f ca="1"/>
        <v>46324.554708333337</v>
      </c>
      <c r="X94" t="str">
        <f ca="1"/>
        <v>High</v>
      </c>
      <c r="BH94" t="str">
        <f ca="1"/>
        <v>TRX0105</v>
      </c>
      <c r="BI94">
        <f ca="1"/>
        <v>45695</v>
      </c>
      <c r="BJ94" t="str">
        <f ca="1"/>
        <v>CUST048</v>
      </c>
      <c r="BK94" t="str">
        <f ca="1"/>
        <v>Virginia Sanders</v>
      </c>
      <c r="BL94" t="str">
        <f ca="1"/>
        <v>P007</v>
      </c>
      <c r="BM94" t="str">
        <f ca="1"/>
        <v>Desk</v>
      </c>
      <c r="BN94" t="str">
        <f ca="1"/>
        <v>Furniture</v>
      </c>
      <c r="BO94">
        <f ca="1"/>
        <v>5</v>
      </c>
      <c r="BP94">
        <f ca="1"/>
        <v>299.99</v>
      </c>
      <c r="BQ94" t="str">
        <f ca="1"/>
        <v>Credit Card</v>
      </c>
      <c r="BR94" t="str">
        <f ca="1"/>
        <v>South</v>
      </c>
      <c r="BS94" t="str">
        <f ca="1"/>
        <v>Basic</v>
      </c>
      <c r="BT94">
        <f ca="1"/>
        <v>44959</v>
      </c>
      <c r="BU94">
        <f ca="1"/>
        <v>1499.95</v>
      </c>
      <c r="BV94">
        <f ca="1"/>
        <v>46324.554708333337</v>
      </c>
      <c r="BW94" t="str">
        <f ca="1"/>
        <v>High</v>
      </c>
    </row>
    <row r="95" spans="1:75">
      <c r="A95" t="str">
        <f>'Raw Data'!D89</f>
        <v>David Martinez</v>
      </c>
      <c r="B95" s="1">
        <f>'Raw Data'!M89</f>
        <v>44820</v>
      </c>
      <c r="C95">
        <f t="shared" ca="1" si="3"/>
        <v>4</v>
      </c>
      <c r="D95">
        <f t="shared" ca="1" si="4"/>
        <v>49</v>
      </c>
      <c r="E95" s="1">
        <f t="shared" si="5"/>
        <v>44834</v>
      </c>
      <c r="I95" t="str">
        <f ca="1"/>
        <v>TRX0180</v>
      </c>
      <c r="J95">
        <f ca="1"/>
        <v>45635</v>
      </c>
      <c r="K95" t="str">
        <f ca="1"/>
        <v>CUST036</v>
      </c>
      <c r="L95" t="str">
        <f ca="1"/>
        <v>Nancy Collins</v>
      </c>
      <c r="M95" t="str">
        <f ca="1"/>
        <v>P009</v>
      </c>
      <c r="N95" t="str">
        <f ca="1"/>
        <v>Monitor</v>
      </c>
      <c r="O95" t="str">
        <f ca="1"/>
        <v>Electronics</v>
      </c>
      <c r="P95">
        <f ca="1"/>
        <v>2</v>
      </c>
      <c r="Q95">
        <f ca="1"/>
        <v>249.99</v>
      </c>
      <c r="R95" t="str">
        <f ca="1"/>
        <v>Credit Card</v>
      </c>
      <c r="S95" t="str">
        <f ca="1"/>
        <v>Central</v>
      </c>
      <c r="T95" t="str">
        <f ca="1"/>
        <v>Premium</v>
      </c>
      <c r="U95">
        <f ca="1"/>
        <v>44396</v>
      </c>
      <c r="V95">
        <f ca="1"/>
        <v>499.98</v>
      </c>
      <c r="W95">
        <f ca="1"/>
        <v>46324.554708333337</v>
      </c>
      <c r="X95" t="str">
        <f ca="1"/>
        <v>Low</v>
      </c>
      <c r="BH95" t="str">
        <f ca="1"/>
        <v>TRX0118</v>
      </c>
      <c r="BI95">
        <f ca="1"/>
        <v>45705</v>
      </c>
      <c r="BJ95" t="str">
        <f ca="1"/>
        <v>CUST015</v>
      </c>
      <c r="BK95" t="str">
        <f ca="1"/>
        <v>Richard Lee</v>
      </c>
      <c r="BL95" t="str">
        <f ca="1"/>
        <v>P008</v>
      </c>
      <c r="BM95" t="str">
        <f ca="1"/>
        <v>Bookshelf</v>
      </c>
      <c r="BN95" t="str">
        <f ca="1"/>
        <v>Furniture</v>
      </c>
      <c r="BO95">
        <f ca="1"/>
        <v>2</v>
      </c>
      <c r="BP95">
        <f ca="1"/>
        <v>149.99</v>
      </c>
      <c r="BQ95" t="str">
        <f ca="1"/>
        <v>Cash</v>
      </c>
      <c r="BR95" t="str">
        <f ca="1"/>
        <v>South</v>
      </c>
      <c r="BS95" t="str">
        <f ca="1"/>
        <v>Premium</v>
      </c>
      <c r="BT95">
        <f ca="1"/>
        <v>44728</v>
      </c>
      <c r="BU95">
        <f ca="1"/>
        <v>299.98</v>
      </c>
      <c r="BV95">
        <f ca="1"/>
        <v>46324.554708333337</v>
      </c>
      <c r="BW95" t="str">
        <f ca="1"/>
        <v>Low</v>
      </c>
    </row>
    <row r="96" spans="1:75">
      <c r="A96" t="str">
        <f>'Raw Data'!D90</f>
        <v>Margaret Wright</v>
      </c>
      <c r="B96" s="1">
        <f>'Raw Data'!M90</f>
        <v>44782</v>
      </c>
      <c r="C96">
        <f t="shared" ca="1" si="3"/>
        <v>4</v>
      </c>
      <c r="D96">
        <f t="shared" ca="1" si="4"/>
        <v>50</v>
      </c>
      <c r="E96" s="1">
        <f t="shared" si="5"/>
        <v>44804</v>
      </c>
      <c r="I96" t="str">
        <f ca="1"/>
        <v>TRX0032</v>
      </c>
      <c r="J96">
        <f ca="1"/>
        <v>45638</v>
      </c>
      <c r="K96" t="str">
        <f ca="1"/>
        <v>CUST041</v>
      </c>
      <c r="L96" t="str">
        <f ca="1"/>
        <v>Peter Richardson</v>
      </c>
      <c r="M96" t="str">
        <f ca="1"/>
        <v>P001</v>
      </c>
      <c r="N96" t="str">
        <f ca="1"/>
        <v>Laptop</v>
      </c>
      <c r="O96" t="str">
        <f ca="1"/>
        <v>Electronics</v>
      </c>
      <c r="P96">
        <f ca="1"/>
        <v>2</v>
      </c>
      <c r="Q96">
        <f ca="1"/>
        <v>899.99</v>
      </c>
      <c r="R96" t="str">
        <f ca="1"/>
        <v>Cash</v>
      </c>
      <c r="S96" t="str">
        <f ca="1"/>
        <v>North</v>
      </c>
      <c r="T96" t="str">
        <f ca="1"/>
        <v>Basic</v>
      </c>
      <c r="U96">
        <f ca="1"/>
        <v>44406</v>
      </c>
      <c r="V96">
        <f ca="1"/>
        <v>1799.98</v>
      </c>
      <c r="W96">
        <f ca="1"/>
        <v>46324.554708333337</v>
      </c>
      <c r="X96" t="str">
        <f ca="1"/>
        <v>High</v>
      </c>
      <c r="BH96" t="str">
        <f ca="1"/>
        <v>TRX0179</v>
      </c>
      <c r="BI96">
        <f ca="1"/>
        <v>45707</v>
      </c>
      <c r="BJ96" t="str">
        <f ca="1"/>
        <v>CUST029</v>
      </c>
      <c r="BK96" t="str">
        <f ca="1"/>
        <v>Edward Mitchell</v>
      </c>
      <c r="BL96" t="str">
        <f ca="1"/>
        <v>P002</v>
      </c>
      <c r="BM96" t="str">
        <f ca="1"/>
        <v>Smartphone</v>
      </c>
      <c r="BN96" t="str">
        <f ca="1"/>
        <v>Electronics</v>
      </c>
      <c r="BO96">
        <f ca="1"/>
        <v>5</v>
      </c>
      <c r="BP96">
        <f ca="1"/>
        <v>699.99</v>
      </c>
      <c r="BQ96" t="str">
        <f ca="1"/>
        <v>PayPal</v>
      </c>
      <c r="BR96" t="str">
        <f ca="1"/>
        <v>South</v>
      </c>
      <c r="BS96" t="str">
        <f ca="1"/>
        <v>Premium</v>
      </c>
      <c r="BT96">
        <f ca="1"/>
        <v>45352</v>
      </c>
      <c r="BU96">
        <f ca="1"/>
        <v>3499.95</v>
      </c>
      <c r="BV96">
        <f ca="1"/>
        <v>46324.554708333337</v>
      </c>
      <c r="BW96" t="str">
        <f ca="1"/>
        <v>High</v>
      </c>
    </row>
    <row r="97" spans="1:75">
      <c r="A97" t="str">
        <f>'Raw Data'!D91</f>
        <v>Karen Hill</v>
      </c>
      <c r="B97" s="1">
        <f>'Raw Data'!M91</f>
        <v>44465</v>
      </c>
      <c r="C97">
        <f t="shared" ca="1" si="3"/>
        <v>5</v>
      </c>
      <c r="D97">
        <f t="shared" ca="1" si="4"/>
        <v>61</v>
      </c>
      <c r="E97" s="1">
        <f t="shared" si="5"/>
        <v>44469</v>
      </c>
      <c r="I97" t="str">
        <f ca="1"/>
        <v>TRX0183</v>
      </c>
      <c r="J97">
        <f ca="1"/>
        <v>45645</v>
      </c>
      <c r="K97" t="str">
        <f ca="1"/>
        <v>CUST007</v>
      </c>
      <c r="L97" t="str">
        <f ca="1"/>
        <v>David Martinez</v>
      </c>
      <c r="M97" t="str">
        <f ca="1"/>
        <v>P010</v>
      </c>
      <c r="N97" t="str">
        <f ca="1"/>
        <v>Keyboard</v>
      </c>
      <c r="O97" t="str">
        <f ca="1"/>
        <v>Electronics</v>
      </c>
      <c r="P97">
        <f ca="1"/>
        <v>1</v>
      </c>
      <c r="Q97">
        <f ca="1"/>
        <v>89.99</v>
      </c>
      <c r="R97" t="str">
        <f ca="1"/>
        <v>Debit Card</v>
      </c>
      <c r="S97" t="str">
        <f ca="1"/>
        <v>Central</v>
      </c>
      <c r="T97" t="str">
        <f ca="1"/>
        <v>Standard</v>
      </c>
      <c r="U97">
        <f ca="1"/>
        <v>44760</v>
      </c>
      <c r="V97">
        <f ca="1"/>
        <v>89.99</v>
      </c>
      <c r="W97">
        <f ca="1"/>
        <v>46324.554708333337</v>
      </c>
      <c r="X97" t="str">
        <f ca="1"/>
        <v>Low</v>
      </c>
      <c r="BH97" t="str">
        <f ca="1"/>
        <v>TRX0047</v>
      </c>
      <c r="BI97">
        <f ca="1"/>
        <v>45711</v>
      </c>
      <c r="BJ97" t="str">
        <f ca="1"/>
        <v>CUST042</v>
      </c>
      <c r="BK97" t="str">
        <f ca="1"/>
        <v>Ruth Brooks</v>
      </c>
      <c r="BL97" t="str">
        <f ca="1"/>
        <v>P002</v>
      </c>
      <c r="BM97" t="str">
        <f ca="1"/>
        <v>Smartphone</v>
      </c>
      <c r="BN97" t="str">
        <f ca="1"/>
        <v>Electronics</v>
      </c>
      <c r="BO97">
        <f ca="1"/>
        <v>1</v>
      </c>
      <c r="BP97">
        <f ca="1"/>
        <v>699.99</v>
      </c>
      <c r="BQ97" t="str">
        <f ca="1"/>
        <v>Cash</v>
      </c>
      <c r="BR97" t="str">
        <f ca="1"/>
        <v>North</v>
      </c>
      <c r="BS97" t="str">
        <f ca="1"/>
        <v>Premium</v>
      </c>
      <c r="BT97">
        <f ca="1"/>
        <v>44583</v>
      </c>
      <c r="BU97">
        <f ca="1"/>
        <v>699.99</v>
      </c>
      <c r="BV97">
        <f ca="1"/>
        <v>46324.554708333337</v>
      </c>
      <c r="BW97" t="str">
        <f ca="1"/>
        <v>Medium</v>
      </c>
    </row>
    <row r="98" spans="1:75">
      <c r="A98" t="str">
        <f>'Raw Data'!D92</f>
        <v>Kathleen Bennett</v>
      </c>
      <c r="B98" s="1">
        <f>'Raw Data'!M92</f>
        <v>44458</v>
      </c>
      <c r="C98">
        <f t="shared" ca="1" si="3"/>
        <v>5</v>
      </c>
      <c r="D98">
        <f t="shared" ca="1" si="4"/>
        <v>61</v>
      </c>
      <c r="E98" s="1">
        <f t="shared" si="5"/>
        <v>44469</v>
      </c>
      <c r="I98" t="str">
        <f ca="1"/>
        <v>TRX0163</v>
      </c>
      <c r="J98">
        <f ca="1"/>
        <v>45645</v>
      </c>
      <c r="K98" t="str">
        <f ca="1"/>
        <v>CUST019</v>
      </c>
      <c r="L98" t="str">
        <f ca="1"/>
        <v>Daniel King</v>
      </c>
      <c r="M98" t="str">
        <f ca="1"/>
        <v>P001</v>
      </c>
      <c r="N98" t="str">
        <f ca="1"/>
        <v>Laptop</v>
      </c>
      <c r="O98" t="str">
        <f ca="1"/>
        <v>Electronics</v>
      </c>
      <c r="P98">
        <f ca="1"/>
        <v>5</v>
      </c>
      <c r="Q98">
        <f ca="1"/>
        <v>899.99</v>
      </c>
      <c r="R98" t="str">
        <f ca="1"/>
        <v>Debit Card</v>
      </c>
      <c r="S98" t="str">
        <f ca="1"/>
        <v>East</v>
      </c>
      <c r="T98" t="str">
        <f ca="1"/>
        <v>Standard</v>
      </c>
      <c r="U98">
        <f ca="1"/>
        <v>44625</v>
      </c>
      <c r="V98">
        <f ca="1"/>
        <v>4499.95</v>
      </c>
      <c r="W98">
        <f ca="1"/>
        <v>46324.554708333337</v>
      </c>
      <c r="X98" t="str">
        <f ca="1"/>
        <v>High</v>
      </c>
      <c r="BH98" t="str">
        <f ca="1"/>
        <v>TRX0200</v>
      </c>
      <c r="BI98">
        <f ca="1"/>
        <v>45711</v>
      </c>
      <c r="BJ98" t="str">
        <f ca="1"/>
        <v>CUST037</v>
      </c>
      <c r="BK98" t="str">
        <f ca="1"/>
        <v>Arthur Edwards</v>
      </c>
      <c r="BL98" t="str">
        <f ca="1"/>
        <v>P008</v>
      </c>
      <c r="BM98" t="str">
        <f ca="1"/>
        <v>Bookshelf</v>
      </c>
      <c r="BN98" t="str">
        <f ca="1"/>
        <v>Furniture</v>
      </c>
      <c r="BO98">
        <f ca="1"/>
        <v>4</v>
      </c>
      <c r="BP98">
        <f ca="1"/>
        <v>149.99</v>
      </c>
      <c r="BQ98" t="str">
        <f ca="1"/>
        <v>PayPal</v>
      </c>
      <c r="BR98" t="str">
        <f ca="1"/>
        <v>North</v>
      </c>
      <c r="BS98" t="str">
        <f ca="1"/>
        <v>Premium</v>
      </c>
      <c r="BT98">
        <f ca="1"/>
        <v>44412</v>
      </c>
      <c r="BU98">
        <f ca="1"/>
        <v>599.96</v>
      </c>
      <c r="BV98">
        <f ca="1"/>
        <v>46324.554708333337</v>
      </c>
      <c r="BW98" t="str">
        <f ca="1"/>
        <v>Medium</v>
      </c>
    </row>
    <row r="99" spans="1:75">
      <c r="A99" t="str">
        <f>'Raw Data'!D93</f>
        <v>Betty Campbell</v>
      </c>
      <c r="B99" s="1">
        <f>'Raw Data'!M93</f>
        <v>44991</v>
      </c>
      <c r="C99">
        <f t="shared" ca="1" si="3"/>
        <v>3</v>
      </c>
      <c r="D99">
        <f t="shared" ca="1" si="4"/>
        <v>43</v>
      </c>
      <c r="E99" s="1">
        <f t="shared" si="5"/>
        <v>45016</v>
      </c>
      <c r="I99" t="str">
        <f ca="1"/>
        <v>TRX0164</v>
      </c>
      <c r="J99">
        <f ca="1"/>
        <v>45648</v>
      </c>
      <c r="K99" t="str">
        <f ca="1"/>
        <v>CUST014</v>
      </c>
      <c r="L99" t="str">
        <f ca="1"/>
        <v>Linda Martin</v>
      </c>
      <c r="M99" t="str">
        <f ca="1"/>
        <v>P003</v>
      </c>
      <c r="N99" t="str">
        <f ca="1"/>
        <v>Headphones</v>
      </c>
      <c r="O99" t="str">
        <f ca="1"/>
        <v>Electronics</v>
      </c>
      <c r="P99">
        <f ca="1"/>
        <v>2</v>
      </c>
      <c r="Q99">
        <f ca="1"/>
        <v>149.99</v>
      </c>
      <c r="R99" t="str">
        <f ca="1"/>
        <v>Debit Card</v>
      </c>
      <c r="S99" t="str">
        <f ca="1"/>
        <v>West</v>
      </c>
      <c r="T99" t="str">
        <f ca="1"/>
        <v>Premium</v>
      </c>
      <c r="U99">
        <f ca="1"/>
        <v>45280</v>
      </c>
      <c r="V99">
        <f ca="1"/>
        <v>299.98</v>
      </c>
      <c r="W99">
        <f ca="1"/>
        <v>46324.554708333337</v>
      </c>
      <c r="X99" t="str">
        <f ca="1"/>
        <v>Low</v>
      </c>
      <c r="BH99" t="str">
        <f ca="1"/>
        <v>TRX0048</v>
      </c>
      <c r="BI99">
        <f ca="1"/>
        <v>45715</v>
      </c>
      <c r="BJ99" t="str">
        <f ca="1"/>
        <v>CUST048</v>
      </c>
      <c r="BK99" t="str">
        <f ca="1"/>
        <v>Virginia Sanders</v>
      </c>
      <c r="BL99" t="str">
        <f ca="1"/>
        <v>P007</v>
      </c>
      <c r="BM99" t="str">
        <f ca="1"/>
        <v>Desk</v>
      </c>
      <c r="BN99" t="str">
        <f ca="1"/>
        <v>Furniture</v>
      </c>
      <c r="BO99">
        <f ca="1"/>
        <v>2</v>
      </c>
      <c r="BP99">
        <f ca="1"/>
        <v>299.99</v>
      </c>
      <c r="BQ99" t="str">
        <f ca="1"/>
        <v>PayPal</v>
      </c>
      <c r="BR99" t="str">
        <f ca="1"/>
        <v>South</v>
      </c>
      <c r="BS99" t="str">
        <f ca="1"/>
        <v>Basic</v>
      </c>
      <c r="BT99">
        <f ca="1"/>
        <v>44576</v>
      </c>
      <c r="BU99">
        <f ca="1"/>
        <v>599.98</v>
      </c>
      <c r="BV99">
        <f ca="1"/>
        <v>46324.554708333337</v>
      </c>
      <c r="BW99" t="str">
        <f ca="1"/>
        <v>Medium</v>
      </c>
    </row>
    <row r="100" spans="1:75">
      <c r="A100" t="str">
        <f>'Raw Data'!D94</f>
        <v>Mark Carter</v>
      </c>
      <c r="B100" s="1">
        <f>'Raw Data'!M94</f>
        <v>44972</v>
      </c>
      <c r="C100">
        <f t="shared" ca="1" si="3"/>
        <v>3</v>
      </c>
      <c r="D100">
        <f t="shared" ca="1" si="4"/>
        <v>44</v>
      </c>
      <c r="E100" s="1">
        <f t="shared" si="5"/>
        <v>44985</v>
      </c>
      <c r="I100" t="str">
        <f ca="1"/>
        <v>TRX0156</v>
      </c>
      <c r="J100">
        <f ca="1"/>
        <v>45655</v>
      </c>
      <c r="K100" t="str">
        <f ca="1"/>
        <v>CUST009</v>
      </c>
      <c r="L100" t="str">
        <f ca="1"/>
        <v>Robert Thomas</v>
      </c>
      <c r="M100" t="str">
        <f ca="1"/>
        <v>P010</v>
      </c>
      <c r="N100" t="str">
        <f ca="1"/>
        <v>Keyboard</v>
      </c>
      <c r="O100" t="str">
        <f ca="1"/>
        <v>Electronics</v>
      </c>
      <c r="P100">
        <f ca="1"/>
        <v>1</v>
      </c>
      <c r="Q100">
        <f ca="1"/>
        <v>89.99</v>
      </c>
      <c r="R100" t="str">
        <f ca="1"/>
        <v>Credit Card</v>
      </c>
      <c r="S100" t="str">
        <f ca="1"/>
        <v>South</v>
      </c>
      <c r="T100" t="str">
        <f ca="1"/>
        <v>Premium</v>
      </c>
      <c r="U100">
        <f ca="1"/>
        <v>44591</v>
      </c>
      <c r="V100">
        <f ca="1"/>
        <v>89.99</v>
      </c>
      <c r="W100">
        <f ca="1"/>
        <v>46324.554708333337</v>
      </c>
      <c r="X100" t="str">
        <f ca="1"/>
        <v>Low</v>
      </c>
      <c r="BH100" t="str">
        <f ca="1"/>
        <v>TRX0038</v>
      </c>
      <c r="BI100">
        <f ca="1"/>
        <v>45726</v>
      </c>
      <c r="BJ100" t="str">
        <f ca="1"/>
        <v>CUST035</v>
      </c>
      <c r="BK100" t="str">
        <f ca="1"/>
        <v>Harry Morgan</v>
      </c>
      <c r="BL100" t="str">
        <f ca="1"/>
        <v>P009</v>
      </c>
      <c r="BM100" t="str">
        <f ca="1"/>
        <v>Monitor</v>
      </c>
      <c r="BN100" t="str">
        <f ca="1"/>
        <v>Electronics</v>
      </c>
      <c r="BO100">
        <f ca="1"/>
        <v>1</v>
      </c>
      <c r="BP100">
        <f ca="1"/>
        <v>249.99</v>
      </c>
      <c r="BQ100" t="str">
        <f ca="1"/>
        <v>Cash</v>
      </c>
      <c r="BR100" t="str">
        <f ca="1"/>
        <v>North</v>
      </c>
      <c r="BS100" t="str">
        <f ca="1"/>
        <v>Standard</v>
      </c>
      <c r="BT100">
        <f ca="1"/>
        <v>45117</v>
      </c>
      <c r="BU100">
        <f ca="1"/>
        <v>249.99</v>
      </c>
      <c r="BV100">
        <f ca="1"/>
        <v>46324.554708333337</v>
      </c>
      <c r="BW100" t="str">
        <f ca="1"/>
        <v>Low</v>
      </c>
    </row>
    <row r="101" spans="1:75">
      <c r="A101" t="str">
        <f>'Raw Data'!D95</f>
        <v>Gerald Murphy</v>
      </c>
      <c r="B101" s="1">
        <f>'Raw Data'!M95</f>
        <v>44526</v>
      </c>
      <c r="C101">
        <f t="shared" ca="1" si="3"/>
        <v>4</v>
      </c>
      <c r="D101">
        <f t="shared" ca="1" si="4"/>
        <v>59</v>
      </c>
      <c r="E101" s="1">
        <f t="shared" si="5"/>
        <v>44530</v>
      </c>
      <c r="I101" t="str">
        <f ca="1"/>
        <v>TRX0207</v>
      </c>
      <c r="J101">
        <f ca="1"/>
        <v>45657</v>
      </c>
      <c r="K101" t="str">
        <f ca="1"/>
        <v>CUST025</v>
      </c>
      <c r="L101" t="str">
        <f ca="1"/>
        <v>Mark Carter</v>
      </c>
      <c r="M101" t="str">
        <f ca="1"/>
        <v>P001</v>
      </c>
      <c r="N101" t="str">
        <f ca="1"/>
        <v>Laptop</v>
      </c>
      <c r="O101" t="str">
        <f ca="1"/>
        <v>Electronics</v>
      </c>
      <c r="P101">
        <f ca="1"/>
        <v>1</v>
      </c>
      <c r="Q101">
        <f ca="1"/>
        <v>899.99</v>
      </c>
      <c r="R101" t="str">
        <f ca="1"/>
        <v>PayPal</v>
      </c>
      <c r="S101" t="str">
        <f ca="1"/>
        <v>North</v>
      </c>
      <c r="T101" t="str">
        <f ca="1"/>
        <v>Premium</v>
      </c>
      <c r="U101">
        <f ca="1"/>
        <v>45050</v>
      </c>
      <c r="V101">
        <f ca="1"/>
        <v>899.99</v>
      </c>
      <c r="W101">
        <f ca="1"/>
        <v>46324.554708333337</v>
      </c>
      <c r="X101" t="str">
        <f ca="1"/>
        <v>Medium</v>
      </c>
      <c r="BH101" t="str">
        <f ca="1"/>
        <v>TRX0124</v>
      </c>
      <c r="BI101">
        <f ca="1"/>
        <v>45737</v>
      </c>
      <c r="BJ101" t="str">
        <f ca="1"/>
        <v>CUST040</v>
      </c>
      <c r="BK101" t="str">
        <f ca="1"/>
        <v>Sharon Butler</v>
      </c>
      <c r="BL101" t="str">
        <f ca="1"/>
        <v>P001</v>
      </c>
      <c r="BM101" t="str">
        <f ca="1"/>
        <v>Laptop</v>
      </c>
      <c r="BN101" t="str">
        <f ca="1"/>
        <v>Electronics</v>
      </c>
      <c r="BO101">
        <f ca="1"/>
        <v>3</v>
      </c>
      <c r="BP101">
        <f ca="1"/>
        <v>899.99</v>
      </c>
      <c r="BQ101" t="str">
        <f ca="1"/>
        <v>Debit Card</v>
      </c>
      <c r="BR101" t="str">
        <f ca="1"/>
        <v>North</v>
      </c>
      <c r="BS101" t="str">
        <f ca="1"/>
        <v>Premium</v>
      </c>
      <c r="BT101">
        <f ca="1"/>
        <v>44876</v>
      </c>
      <c r="BU101">
        <f ca="1"/>
        <v>2699.97</v>
      </c>
      <c r="BV101">
        <f ca="1"/>
        <v>46324.554708333337</v>
      </c>
      <c r="BW101" t="str">
        <f ca="1"/>
        <v>High</v>
      </c>
    </row>
    <row r="102" spans="1:75">
      <c r="A102" t="str">
        <f>'Raw Data'!D96</f>
        <v>Nancy Collins</v>
      </c>
      <c r="B102" s="1">
        <f>'Raw Data'!M96</f>
        <v>44574</v>
      </c>
      <c r="C102">
        <f t="shared" ca="1" si="3"/>
        <v>4</v>
      </c>
      <c r="D102">
        <f t="shared" ca="1" si="4"/>
        <v>57</v>
      </c>
      <c r="E102" s="1">
        <f t="shared" si="5"/>
        <v>44592</v>
      </c>
      <c r="I102" t="str">
        <f ca="1"/>
        <v>TRX0056</v>
      </c>
      <c r="J102">
        <f ca="1"/>
        <v>45660</v>
      </c>
      <c r="K102" t="str">
        <f ca="1"/>
        <v>CUST019</v>
      </c>
      <c r="L102" t="str">
        <f ca="1"/>
        <v>Daniel King</v>
      </c>
      <c r="M102" t="str">
        <f ca="1"/>
        <v>P010</v>
      </c>
      <c r="N102" t="str">
        <f ca="1"/>
        <v>Keyboard</v>
      </c>
      <c r="O102" t="str">
        <f ca="1"/>
        <v>Electronics</v>
      </c>
      <c r="P102">
        <f ca="1"/>
        <v>2</v>
      </c>
      <c r="Q102">
        <f ca="1"/>
        <v>89.99</v>
      </c>
      <c r="R102" t="str">
        <f ca="1"/>
        <v>Credit Card</v>
      </c>
      <c r="S102" t="str">
        <f ca="1"/>
        <v>South</v>
      </c>
      <c r="T102" t="str">
        <f ca="1"/>
        <v>Premium</v>
      </c>
      <c r="U102">
        <f ca="1"/>
        <v>44564</v>
      </c>
      <c r="V102">
        <f ca="1"/>
        <v>179.98</v>
      </c>
      <c r="W102">
        <f ca="1"/>
        <v>46324.554708333337</v>
      </c>
      <c r="X102" t="str">
        <f ca="1"/>
        <v>Low</v>
      </c>
      <c r="BH102" t="str">
        <f ca="1"/>
        <v>TRX0013</v>
      </c>
      <c r="BI102">
        <f ca="1"/>
        <v>45737</v>
      </c>
      <c r="BJ102" t="str">
        <f ca="1"/>
        <v>CUST024</v>
      </c>
      <c r="BK102" t="str">
        <f ca="1"/>
        <v>Dorothy Nelson</v>
      </c>
      <c r="BL102" t="str">
        <f ca="1"/>
        <v>P001</v>
      </c>
      <c r="BM102" t="str">
        <f ca="1"/>
        <v>Laptop</v>
      </c>
      <c r="BN102" t="str">
        <f ca="1"/>
        <v>Electronics</v>
      </c>
      <c r="BO102">
        <f ca="1"/>
        <v>3</v>
      </c>
      <c r="BP102">
        <f ca="1"/>
        <v>899.99</v>
      </c>
      <c r="BQ102" t="str">
        <f ca="1"/>
        <v>PayPal</v>
      </c>
      <c r="BR102" t="str">
        <f ca="1"/>
        <v>North</v>
      </c>
      <c r="BS102" t="str">
        <f ca="1"/>
        <v>Basic</v>
      </c>
      <c r="BT102">
        <f ca="1"/>
        <v>44975</v>
      </c>
      <c r="BU102">
        <f ca="1"/>
        <v>2699.97</v>
      </c>
      <c r="BV102">
        <f ca="1"/>
        <v>46324.554708333337</v>
      </c>
      <c r="BW102" t="str">
        <f ca="1"/>
        <v>High</v>
      </c>
    </row>
    <row r="103" spans="1:75">
      <c r="A103" t="str">
        <f>'Raw Data'!D97</f>
        <v>Cynthia Price</v>
      </c>
      <c r="B103" s="1">
        <f>'Raw Data'!M97</f>
        <v>45310</v>
      </c>
      <c r="C103">
        <f t="shared" ca="1" si="3"/>
        <v>2</v>
      </c>
      <c r="D103">
        <f t="shared" ca="1" si="4"/>
        <v>33</v>
      </c>
      <c r="E103" s="1">
        <f t="shared" si="5"/>
        <v>45322</v>
      </c>
      <c r="I103" t="str">
        <f ca="1"/>
        <v>TRX0026</v>
      </c>
      <c r="J103">
        <f ca="1"/>
        <v>45661</v>
      </c>
      <c r="K103" t="str">
        <f ca="1"/>
        <v>CUST037</v>
      </c>
      <c r="L103" t="str">
        <f ca="1"/>
        <v>Arthur Edwards</v>
      </c>
      <c r="M103" t="str">
        <f ca="1"/>
        <v>P001</v>
      </c>
      <c r="N103" t="str">
        <f ca="1"/>
        <v>Laptop</v>
      </c>
      <c r="O103" t="str">
        <f ca="1"/>
        <v>Electronics</v>
      </c>
      <c r="P103">
        <f ca="1"/>
        <v>1</v>
      </c>
      <c r="Q103">
        <f ca="1"/>
        <v>899.99</v>
      </c>
      <c r="R103" t="str">
        <f ca="1"/>
        <v>PayPal</v>
      </c>
      <c r="S103" t="str">
        <f ca="1"/>
        <v>North</v>
      </c>
      <c r="T103" t="str">
        <f ca="1"/>
        <v>Standard</v>
      </c>
      <c r="U103">
        <f ca="1"/>
        <v>44752</v>
      </c>
      <c r="V103">
        <f ca="1"/>
        <v>899.99</v>
      </c>
      <c r="W103">
        <f ca="1"/>
        <v>46324.554708333337</v>
      </c>
      <c r="X103" t="str">
        <f ca="1"/>
        <v>Medium</v>
      </c>
      <c r="BH103" t="str">
        <f ca="1"/>
        <v>TRX0213</v>
      </c>
      <c r="BI103">
        <f ca="1"/>
        <v>45745</v>
      </c>
      <c r="BJ103" t="str">
        <f ca="1"/>
        <v>CUST020</v>
      </c>
      <c r="BK103" t="str">
        <f ca="1"/>
        <v>Margaret Wright</v>
      </c>
      <c r="BL103" t="str">
        <f ca="1"/>
        <v>P010</v>
      </c>
      <c r="BM103" t="str">
        <f ca="1"/>
        <v>Keyboard</v>
      </c>
      <c r="BN103" t="str">
        <f ca="1"/>
        <v>Electronics</v>
      </c>
      <c r="BO103">
        <f ca="1"/>
        <v>5</v>
      </c>
      <c r="BP103">
        <f ca="1"/>
        <v>89.99</v>
      </c>
      <c r="BQ103" t="str">
        <f ca="1"/>
        <v>PayPal</v>
      </c>
      <c r="BR103" t="str">
        <f ca="1"/>
        <v>South</v>
      </c>
      <c r="BS103" t="str">
        <f ca="1"/>
        <v>Basic</v>
      </c>
      <c r="BT103">
        <f ca="1"/>
        <v>44704</v>
      </c>
      <c r="BU103">
        <f ca="1"/>
        <v>449.95</v>
      </c>
      <c r="BV103">
        <f ca="1"/>
        <v>46324.554708333337</v>
      </c>
      <c r="BW103" t="str">
        <f ca="1"/>
        <v>Low</v>
      </c>
    </row>
    <row r="104" spans="1:75">
      <c r="A104" t="str">
        <f>'Raw Data'!D98</f>
        <v>Lawrence Reed</v>
      </c>
      <c r="B104" s="1">
        <f>'Raw Data'!M98</f>
        <v>44779</v>
      </c>
      <c r="C104">
        <f t="shared" ca="1" si="3"/>
        <v>4</v>
      </c>
      <c r="D104">
        <f t="shared" ca="1" si="4"/>
        <v>50</v>
      </c>
      <c r="E104" s="1">
        <f t="shared" si="5"/>
        <v>44804</v>
      </c>
      <c r="I104" t="str">
        <f ca="1"/>
        <v>TRX0237</v>
      </c>
      <c r="J104">
        <f ca="1"/>
        <v>45663</v>
      </c>
      <c r="K104" t="str">
        <f ca="1"/>
        <v>CUST006</v>
      </c>
      <c r="L104" t="str">
        <f ca="1"/>
        <v>Lisa Anderson</v>
      </c>
      <c r="M104" t="str">
        <f ca="1"/>
        <v>P003</v>
      </c>
      <c r="N104" t="str">
        <f ca="1"/>
        <v>Headphones</v>
      </c>
      <c r="O104" t="str">
        <f ca="1"/>
        <v>Electronics</v>
      </c>
      <c r="P104">
        <f ca="1"/>
        <v>5</v>
      </c>
      <c r="Q104">
        <f ca="1"/>
        <v>149.99</v>
      </c>
      <c r="R104" t="str">
        <f ca="1"/>
        <v>PayPal</v>
      </c>
      <c r="S104" t="str">
        <f ca="1"/>
        <v>East</v>
      </c>
      <c r="T104" t="str">
        <f ca="1"/>
        <v>Premium</v>
      </c>
      <c r="U104">
        <f ca="1"/>
        <v>44824</v>
      </c>
      <c r="V104">
        <f ca="1"/>
        <v>749.95</v>
      </c>
      <c r="W104">
        <f ca="1"/>
        <v>46324.554708333337</v>
      </c>
      <c r="X104" t="str">
        <f ca="1"/>
        <v>Medium</v>
      </c>
      <c r="BH104" t="str">
        <f ca="1"/>
        <v>TRX0068</v>
      </c>
      <c r="BI104">
        <f ca="1"/>
        <v>45748</v>
      </c>
      <c r="BJ104" t="str">
        <f ca="1"/>
        <v>CUST044</v>
      </c>
      <c r="BK104" t="str">
        <f ca="1"/>
        <v>Cynthia Price</v>
      </c>
      <c r="BL104" t="str">
        <f ca="1"/>
        <v>P002</v>
      </c>
      <c r="BM104" t="str">
        <f ca="1"/>
        <v>Smartphone</v>
      </c>
      <c r="BN104" t="str">
        <f ca="1"/>
        <v>Electronics</v>
      </c>
      <c r="BO104">
        <f ca="1"/>
        <v>2</v>
      </c>
      <c r="BP104">
        <f ca="1"/>
        <v>699.99</v>
      </c>
      <c r="BQ104" t="str">
        <f ca="1"/>
        <v>PayPal</v>
      </c>
      <c r="BR104" t="str">
        <f ca="1"/>
        <v>North</v>
      </c>
      <c r="BS104" t="str">
        <f ca="1"/>
        <v>Standard</v>
      </c>
      <c r="BT104">
        <f ca="1"/>
        <v>44618</v>
      </c>
      <c r="BU104">
        <f ca="1"/>
        <v>1399.98</v>
      </c>
      <c r="BV104">
        <f ca="1"/>
        <v>46324.554708333337</v>
      </c>
      <c r="BW104" t="str">
        <f ca="1"/>
        <v>High</v>
      </c>
    </row>
    <row r="105" spans="1:75">
      <c r="A105" t="str">
        <f>'Raw Data'!D99</f>
        <v>Harry Morgan</v>
      </c>
      <c r="B105" s="1">
        <f>'Raw Data'!M99</f>
        <v>44572</v>
      </c>
      <c r="C105">
        <f t="shared" ca="1" si="3"/>
        <v>4</v>
      </c>
      <c r="D105">
        <f t="shared" ca="1" si="4"/>
        <v>57</v>
      </c>
      <c r="E105" s="1">
        <f t="shared" si="5"/>
        <v>44592</v>
      </c>
      <c r="I105" t="str">
        <f ca="1"/>
        <v>TRX0125</v>
      </c>
      <c r="J105">
        <f ca="1"/>
        <v>45666</v>
      </c>
      <c r="K105" t="str">
        <f ca="1"/>
        <v>CUST026</v>
      </c>
      <c r="L105" t="str">
        <f ca="1"/>
        <v>Karen Hill</v>
      </c>
      <c r="M105" t="str">
        <f ca="1"/>
        <v>P002</v>
      </c>
      <c r="N105" t="str">
        <f ca="1"/>
        <v>Smartphone</v>
      </c>
      <c r="O105" t="str">
        <f ca="1"/>
        <v>Electronics</v>
      </c>
      <c r="P105">
        <f ca="1"/>
        <v>3</v>
      </c>
      <c r="Q105">
        <f ca="1"/>
        <v>699.99</v>
      </c>
      <c r="R105" t="str">
        <f ca="1"/>
        <v>Credit Card</v>
      </c>
      <c r="S105" t="str">
        <f ca="1"/>
        <v>Central</v>
      </c>
      <c r="T105" t="str">
        <f ca="1"/>
        <v>Premium</v>
      </c>
      <c r="U105">
        <f ca="1"/>
        <v>45105</v>
      </c>
      <c r="V105">
        <f ca="1"/>
        <v>2099.9699999999998</v>
      </c>
      <c r="W105">
        <f ca="1"/>
        <v>46324.554708333337</v>
      </c>
      <c r="X105" t="str">
        <f ca="1"/>
        <v>High</v>
      </c>
      <c r="BH105" t="str">
        <f ca="1"/>
        <v>TRX0039</v>
      </c>
      <c r="BI105">
        <f ca="1"/>
        <v>45755</v>
      </c>
      <c r="BJ105" t="str">
        <f ca="1"/>
        <v>CUST048</v>
      </c>
      <c r="BK105" t="str">
        <f ca="1"/>
        <v>Virginia Sanders</v>
      </c>
      <c r="BL105" t="str">
        <f ca="1"/>
        <v>P004</v>
      </c>
      <c r="BM105" t="str">
        <f ca="1"/>
        <v>Coffee Maker</v>
      </c>
      <c r="BN105" t="str">
        <f ca="1"/>
        <v>Appliances</v>
      </c>
      <c r="BO105">
        <f ca="1"/>
        <v>3</v>
      </c>
      <c r="BP105">
        <f ca="1"/>
        <v>79.989999999999995</v>
      </c>
      <c r="BQ105" t="str">
        <f ca="1"/>
        <v>Credit Card</v>
      </c>
      <c r="BR105" t="str">
        <f ca="1"/>
        <v>North</v>
      </c>
      <c r="BS105" t="str">
        <f ca="1"/>
        <v>Basic</v>
      </c>
      <c r="BT105">
        <f ca="1"/>
        <v>44511</v>
      </c>
      <c r="BU105">
        <f ca="1"/>
        <v>239.97</v>
      </c>
      <c r="BV105">
        <f ca="1"/>
        <v>46324.554708333337</v>
      </c>
      <c r="BW105" t="str">
        <f ca="1"/>
        <v>Low</v>
      </c>
    </row>
    <row r="106" spans="1:75">
      <c r="A106" t="str">
        <f>'Raw Data'!D100</f>
        <v>Gerald Murphy</v>
      </c>
      <c r="B106" s="1">
        <f>'Raw Data'!M100</f>
        <v>44497</v>
      </c>
      <c r="C106">
        <f t="shared" ca="1" si="3"/>
        <v>5</v>
      </c>
      <c r="D106">
        <f t="shared" ca="1" si="4"/>
        <v>60</v>
      </c>
      <c r="E106" s="1">
        <f t="shared" si="5"/>
        <v>44500</v>
      </c>
      <c r="I106" t="str">
        <f ca="1"/>
        <v>TRX0243</v>
      </c>
      <c r="J106">
        <f ca="1"/>
        <v>45667</v>
      </c>
      <c r="K106" t="str">
        <f ca="1"/>
        <v>CUST048</v>
      </c>
      <c r="L106" t="str">
        <f ca="1"/>
        <v>Virginia Sanders</v>
      </c>
      <c r="M106" t="str">
        <f ca="1"/>
        <v>P009</v>
      </c>
      <c r="N106" t="str">
        <f ca="1"/>
        <v>Monitor</v>
      </c>
      <c r="O106" t="str">
        <f ca="1"/>
        <v>Electronics</v>
      </c>
      <c r="P106">
        <f ca="1"/>
        <v>5</v>
      </c>
      <c r="Q106">
        <f ca="1"/>
        <v>249.99</v>
      </c>
      <c r="R106" t="str">
        <f ca="1"/>
        <v>Credit Card</v>
      </c>
      <c r="S106" t="str">
        <f ca="1"/>
        <v>South</v>
      </c>
      <c r="T106" t="str">
        <f ca="1"/>
        <v>Basic</v>
      </c>
      <c r="U106">
        <f ca="1"/>
        <v>45330</v>
      </c>
      <c r="V106">
        <f ca="1"/>
        <v>1249.95</v>
      </c>
      <c r="W106">
        <f ca="1"/>
        <v>46324.554708333337</v>
      </c>
      <c r="X106" t="str">
        <f ca="1"/>
        <v>High</v>
      </c>
      <c r="BH106" t="str">
        <f ca="1"/>
        <v>TRX0120</v>
      </c>
      <c r="BI106">
        <f ca="1"/>
        <v>45758</v>
      </c>
      <c r="BJ106" t="str">
        <f ca="1"/>
        <v>CUST045</v>
      </c>
      <c r="BK106" t="str">
        <f ca="1"/>
        <v>Douglas Watson</v>
      </c>
      <c r="BL106" t="str">
        <f ca="1"/>
        <v>P002</v>
      </c>
      <c r="BM106" t="str">
        <f ca="1"/>
        <v>Smartphone</v>
      </c>
      <c r="BN106" t="str">
        <f ca="1"/>
        <v>Electronics</v>
      </c>
      <c r="BO106">
        <f ca="1"/>
        <v>3</v>
      </c>
      <c r="BP106">
        <f ca="1"/>
        <v>699.99</v>
      </c>
      <c r="BQ106" t="str">
        <f ca="1"/>
        <v>PayPal</v>
      </c>
      <c r="BR106" t="str">
        <f ca="1"/>
        <v>North</v>
      </c>
      <c r="BS106" t="str">
        <f ca="1"/>
        <v>Basic</v>
      </c>
      <c r="BT106">
        <f ca="1"/>
        <v>44909</v>
      </c>
      <c r="BU106">
        <f ca="1"/>
        <v>2099.9699999999998</v>
      </c>
      <c r="BV106">
        <f ca="1"/>
        <v>46324.554708333337</v>
      </c>
      <c r="BW106" t="str">
        <f ca="1"/>
        <v>High</v>
      </c>
    </row>
    <row r="107" spans="1:75">
      <c r="A107" t="str">
        <f>'Raw Data'!D101</f>
        <v>Carol Evans</v>
      </c>
      <c r="B107" s="1">
        <f>'Raw Data'!M101</f>
        <v>45212</v>
      </c>
      <c r="C107">
        <f t="shared" ca="1" si="3"/>
        <v>3</v>
      </c>
      <c r="D107">
        <f t="shared" ca="1" si="4"/>
        <v>36</v>
      </c>
      <c r="E107" s="1">
        <f t="shared" si="5"/>
        <v>45230</v>
      </c>
      <c r="I107" t="str">
        <f ca="1"/>
        <v>TRX0084</v>
      </c>
      <c r="J107">
        <f ca="1"/>
        <v>45668</v>
      </c>
      <c r="K107" t="str">
        <f ca="1"/>
        <v>CUST031</v>
      </c>
      <c r="L107" t="str">
        <f ca="1"/>
        <v>Steven Turner</v>
      </c>
      <c r="M107" t="str">
        <f ca="1"/>
        <v>P003</v>
      </c>
      <c r="N107" t="str">
        <f ca="1"/>
        <v>Headphones</v>
      </c>
      <c r="O107" t="str">
        <f ca="1"/>
        <v>Electronics</v>
      </c>
      <c r="P107">
        <f ca="1"/>
        <v>4</v>
      </c>
      <c r="Q107">
        <f ca="1"/>
        <v>149.99</v>
      </c>
      <c r="R107" t="str">
        <f ca="1"/>
        <v>Debit Card</v>
      </c>
      <c r="S107" t="str">
        <f ca="1"/>
        <v>East</v>
      </c>
      <c r="T107" t="str">
        <f ca="1"/>
        <v>Standard</v>
      </c>
      <c r="U107">
        <f ca="1"/>
        <v>44536</v>
      </c>
      <c r="V107">
        <f ca="1"/>
        <v>599.96</v>
      </c>
      <c r="W107">
        <f ca="1"/>
        <v>46324.554708333337</v>
      </c>
      <c r="X107" t="str">
        <f ca="1"/>
        <v>Medium</v>
      </c>
      <c r="BH107" t="str">
        <f ca="1"/>
        <v>TRX0064</v>
      </c>
      <c r="BI107">
        <f ca="1"/>
        <v>45758</v>
      </c>
      <c r="BJ107" t="str">
        <f ca="1"/>
        <v>CUST031</v>
      </c>
      <c r="BK107" t="str">
        <f ca="1"/>
        <v>Steven Turner</v>
      </c>
      <c r="BL107" t="str">
        <f ca="1"/>
        <v>P010</v>
      </c>
      <c r="BM107" t="str">
        <f ca="1"/>
        <v>Keyboard</v>
      </c>
      <c r="BN107" t="str">
        <f ca="1"/>
        <v>Electronics</v>
      </c>
      <c r="BO107">
        <f ca="1"/>
        <v>3</v>
      </c>
      <c r="BP107">
        <f ca="1"/>
        <v>89.99</v>
      </c>
      <c r="BQ107" t="str">
        <f ca="1"/>
        <v>Debit Card</v>
      </c>
      <c r="BR107" t="str">
        <f ca="1"/>
        <v>North</v>
      </c>
      <c r="BS107" t="str">
        <f ca="1"/>
        <v>Premium</v>
      </c>
      <c r="BT107">
        <f ca="1"/>
        <v>44878</v>
      </c>
      <c r="BU107">
        <f ca="1"/>
        <v>269.97000000000003</v>
      </c>
      <c r="BV107">
        <f ca="1"/>
        <v>46324.554708333337</v>
      </c>
      <c r="BW107" t="str">
        <f ca="1"/>
        <v>Low</v>
      </c>
    </row>
    <row r="108" spans="1:75">
      <c r="A108" t="str">
        <f>'Raw Data'!D102</f>
        <v>Sandra Phillips</v>
      </c>
      <c r="B108" s="1">
        <f>'Raw Data'!M102</f>
        <v>44421</v>
      </c>
      <c r="C108">
        <f t="shared" ca="1" si="3"/>
        <v>5</v>
      </c>
      <c r="D108">
        <f t="shared" ca="1" si="4"/>
        <v>62</v>
      </c>
      <c r="E108" s="1">
        <f t="shared" si="5"/>
        <v>44439</v>
      </c>
      <c r="I108" t="str">
        <f ca="1"/>
        <v>TRX0238</v>
      </c>
      <c r="J108">
        <f ca="1"/>
        <v>45668</v>
      </c>
      <c r="K108" t="str">
        <f ca="1"/>
        <v>CUST038</v>
      </c>
      <c r="L108" t="str">
        <f ca="1"/>
        <v>Michelle Rogers</v>
      </c>
      <c r="M108" t="str">
        <f ca="1"/>
        <v>P002</v>
      </c>
      <c r="N108" t="str">
        <f ca="1"/>
        <v>Smartphone</v>
      </c>
      <c r="O108" t="str">
        <f ca="1"/>
        <v>Electronics</v>
      </c>
      <c r="P108">
        <f ca="1"/>
        <v>3</v>
      </c>
      <c r="Q108">
        <f ca="1"/>
        <v>699.99</v>
      </c>
      <c r="R108" t="str">
        <f ca="1"/>
        <v>Cash</v>
      </c>
      <c r="S108" t="str">
        <f ca="1"/>
        <v>North</v>
      </c>
      <c r="T108" t="str">
        <f ca="1"/>
        <v>Premium</v>
      </c>
      <c r="U108">
        <f ca="1"/>
        <v>44602</v>
      </c>
      <c r="V108">
        <f ca="1"/>
        <v>2099.9699999999998</v>
      </c>
      <c r="W108">
        <f ca="1"/>
        <v>46324.554708333337</v>
      </c>
      <c r="X108" t="str">
        <f ca="1"/>
        <v>High</v>
      </c>
    </row>
    <row r="109" spans="1:75">
      <c r="A109" t="str">
        <f>'Raw Data'!D103</f>
        <v>Carol Evans</v>
      </c>
      <c r="B109" s="1">
        <f>'Raw Data'!M103</f>
        <v>44685</v>
      </c>
      <c r="C109">
        <f t="shared" ca="1" si="3"/>
        <v>4</v>
      </c>
      <c r="D109">
        <f t="shared" ca="1" si="4"/>
        <v>53</v>
      </c>
      <c r="E109" s="1">
        <f t="shared" si="5"/>
        <v>44712</v>
      </c>
      <c r="I109" t="str">
        <f ca="1"/>
        <v>TRX0087</v>
      </c>
      <c r="J109">
        <f ca="1"/>
        <v>45671</v>
      </c>
      <c r="K109" t="str">
        <f ca="1"/>
        <v>CUST028</v>
      </c>
      <c r="L109" t="str">
        <f ca="1"/>
        <v>Betty Campbell</v>
      </c>
      <c r="M109" t="str">
        <f ca="1"/>
        <v>P009</v>
      </c>
      <c r="N109" t="str">
        <f ca="1"/>
        <v>Monitor</v>
      </c>
      <c r="O109" t="str">
        <f ca="1"/>
        <v>Electronics</v>
      </c>
      <c r="P109">
        <f ca="1"/>
        <v>4</v>
      </c>
      <c r="Q109">
        <f ca="1"/>
        <v>249.99</v>
      </c>
      <c r="R109" t="str">
        <f ca="1"/>
        <v>Credit Card</v>
      </c>
      <c r="S109" t="str">
        <f ca="1"/>
        <v>North</v>
      </c>
      <c r="T109" t="str">
        <f ca="1"/>
        <v>Premium</v>
      </c>
      <c r="U109">
        <f ca="1"/>
        <v>44460</v>
      </c>
      <c r="V109">
        <f ca="1"/>
        <v>999.96</v>
      </c>
      <c r="W109">
        <f ca="1"/>
        <v>46324.554708333337</v>
      </c>
      <c r="X109" t="str">
        <f ca="1"/>
        <v>Medium</v>
      </c>
    </row>
    <row r="110" spans="1:75">
      <c r="A110" t="str">
        <f>'Raw Data'!D104</f>
        <v>Paul Baker</v>
      </c>
      <c r="B110" s="1">
        <f>'Raw Data'!M104</f>
        <v>45332</v>
      </c>
      <c r="C110">
        <f t="shared" ca="1" si="3"/>
        <v>2</v>
      </c>
      <c r="D110">
        <f t="shared" ca="1" si="4"/>
        <v>32</v>
      </c>
      <c r="E110" s="1">
        <f t="shared" si="5"/>
        <v>45351</v>
      </c>
      <c r="I110" t="str">
        <f ca="1"/>
        <v>TRX0107</v>
      </c>
      <c r="J110">
        <f ca="1"/>
        <v>45671</v>
      </c>
      <c r="K110" t="str">
        <f ca="1"/>
        <v>CUST030</v>
      </c>
      <c r="L110" t="str">
        <f ca="1"/>
        <v>Helen Roberts</v>
      </c>
      <c r="M110" t="str">
        <f ca="1"/>
        <v>P003</v>
      </c>
      <c r="N110" t="str">
        <f ca="1"/>
        <v>Headphones</v>
      </c>
      <c r="O110" t="str">
        <f ca="1"/>
        <v>Electronics</v>
      </c>
      <c r="P110">
        <f ca="1"/>
        <v>2</v>
      </c>
      <c r="Q110">
        <f ca="1"/>
        <v>149.99</v>
      </c>
      <c r="R110" t="str">
        <f ca="1"/>
        <v>Cash</v>
      </c>
      <c r="S110" t="str">
        <f ca="1"/>
        <v>North</v>
      </c>
      <c r="T110" t="str">
        <f ca="1"/>
        <v>Standard</v>
      </c>
      <c r="U110">
        <f ca="1"/>
        <v>44913</v>
      </c>
      <c r="V110">
        <f ca="1"/>
        <v>299.98</v>
      </c>
      <c r="W110">
        <f ca="1"/>
        <v>46324.554708333337</v>
      </c>
      <c r="X110" t="str">
        <f ca="1"/>
        <v>Low</v>
      </c>
    </row>
    <row r="111" spans="1:75">
      <c r="A111" t="str">
        <f>'Raw Data'!D105</f>
        <v>Lawrence Reed</v>
      </c>
      <c r="B111" s="1">
        <f>'Raw Data'!M105</f>
        <v>44870</v>
      </c>
      <c r="C111">
        <f t="shared" ca="1" si="3"/>
        <v>3</v>
      </c>
      <c r="D111">
        <f t="shared" ca="1" si="4"/>
        <v>47</v>
      </c>
      <c r="E111" s="1">
        <f t="shared" si="5"/>
        <v>44895</v>
      </c>
      <c r="I111" t="str">
        <f ca="1"/>
        <v>TRX0159</v>
      </c>
      <c r="J111">
        <f ca="1"/>
        <v>45683</v>
      </c>
      <c r="K111" t="str">
        <f ca="1"/>
        <v>CUST024</v>
      </c>
      <c r="L111" t="str">
        <f ca="1"/>
        <v>Dorothy Nelson</v>
      </c>
      <c r="M111" t="str">
        <f ca="1"/>
        <v>P009</v>
      </c>
      <c r="N111" t="str">
        <f ca="1"/>
        <v>Monitor</v>
      </c>
      <c r="O111" t="str">
        <f ca="1"/>
        <v>Electronics</v>
      </c>
      <c r="P111">
        <f ca="1"/>
        <v>4</v>
      </c>
      <c r="Q111">
        <f ca="1"/>
        <v>249.99</v>
      </c>
      <c r="R111" t="str">
        <f ca="1"/>
        <v>Debit Card</v>
      </c>
      <c r="S111" t="str">
        <f ca="1"/>
        <v>Central</v>
      </c>
      <c r="T111" t="str">
        <f ca="1"/>
        <v>Premium</v>
      </c>
      <c r="U111">
        <f ca="1"/>
        <v>45217</v>
      </c>
      <c r="V111">
        <f ca="1"/>
        <v>999.96</v>
      </c>
      <c r="W111">
        <f ca="1"/>
        <v>46324.554708333337</v>
      </c>
      <c r="X111" t="str">
        <f ca="1"/>
        <v>Medium</v>
      </c>
    </row>
    <row r="112" spans="1:75">
      <c r="A112" t="str">
        <f>'Raw Data'!D106</f>
        <v>Steven Turner</v>
      </c>
      <c r="B112" s="1">
        <f>'Raw Data'!M106</f>
        <v>44717</v>
      </c>
      <c r="C112">
        <f t="shared" ca="1" si="3"/>
        <v>4</v>
      </c>
      <c r="D112">
        <f t="shared" ca="1" si="4"/>
        <v>52</v>
      </c>
      <c r="E112" s="1">
        <f t="shared" si="5"/>
        <v>44742</v>
      </c>
      <c r="I112" t="str">
        <f ca="1"/>
        <v>TRX0030</v>
      </c>
      <c r="J112">
        <f ca="1"/>
        <v>45686</v>
      </c>
      <c r="K112" t="str">
        <f ca="1"/>
        <v>CUST011</v>
      </c>
      <c r="L112" t="str">
        <f ca="1"/>
        <v>William White</v>
      </c>
      <c r="M112" t="str">
        <f ca="1"/>
        <v>P001</v>
      </c>
      <c r="N112" t="str">
        <f ca="1"/>
        <v>Laptop</v>
      </c>
      <c r="O112" t="str">
        <f ca="1"/>
        <v>Electronics</v>
      </c>
      <c r="P112">
        <f ca="1"/>
        <v>4</v>
      </c>
      <c r="Q112">
        <f ca="1"/>
        <v>899.99</v>
      </c>
      <c r="R112" t="str">
        <f ca="1"/>
        <v>PayPal</v>
      </c>
      <c r="S112" t="str">
        <f ca="1"/>
        <v>Central</v>
      </c>
      <c r="T112" t="str">
        <f ca="1"/>
        <v>Basic</v>
      </c>
      <c r="U112">
        <f ca="1"/>
        <v>44734</v>
      </c>
      <c r="V112">
        <f ca="1"/>
        <v>3599.96</v>
      </c>
      <c r="W112">
        <f ca="1"/>
        <v>46324.554708333337</v>
      </c>
      <c r="X112" t="str">
        <f ca="1"/>
        <v>High</v>
      </c>
    </row>
    <row r="113" spans="1:24">
      <c r="A113" t="str">
        <f>'Raw Data'!D107</f>
        <v>Emma Wilson</v>
      </c>
      <c r="B113" s="1">
        <f>'Raw Data'!M107</f>
        <v>44748</v>
      </c>
      <c r="C113">
        <f t="shared" ca="1" si="3"/>
        <v>4</v>
      </c>
      <c r="D113">
        <f t="shared" ca="1" si="4"/>
        <v>51</v>
      </c>
      <c r="E113" s="1">
        <f t="shared" si="5"/>
        <v>44773</v>
      </c>
      <c r="I113" t="str">
        <f ca="1"/>
        <v>TRX0188</v>
      </c>
      <c r="J113">
        <f ca="1"/>
        <v>45686</v>
      </c>
      <c r="K113" t="str">
        <f ca="1"/>
        <v>CUST045</v>
      </c>
      <c r="L113" t="str">
        <f ca="1"/>
        <v>Douglas Watson</v>
      </c>
      <c r="M113" t="str">
        <f ca="1"/>
        <v>P002</v>
      </c>
      <c r="N113" t="str">
        <f ca="1"/>
        <v>Smartphone</v>
      </c>
      <c r="O113" t="str">
        <f ca="1"/>
        <v>Electronics</v>
      </c>
      <c r="P113">
        <f ca="1"/>
        <v>2</v>
      </c>
      <c r="Q113">
        <f ca="1"/>
        <v>699.99</v>
      </c>
      <c r="R113" t="str">
        <f ca="1"/>
        <v>Debit Card</v>
      </c>
      <c r="S113" t="str">
        <f ca="1"/>
        <v>Central</v>
      </c>
      <c r="T113" t="str">
        <f ca="1"/>
        <v>Premium</v>
      </c>
      <c r="U113">
        <f ca="1"/>
        <v>44681</v>
      </c>
      <c r="V113">
        <f ca="1"/>
        <v>1399.98</v>
      </c>
      <c r="W113">
        <f ca="1"/>
        <v>46324.554708333337</v>
      </c>
      <c r="X113" t="str">
        <f ca="1"/>
        <v>High</v>
      </c>
    </row>
    <row r="114" spans="1:24">
      <c r="A114" t="str">
        <f>'Raw Data'!D108</f>
        <v>Jennifer Taylor</v>
      </c>
      <c r="B114" s="1">
        <f>'Raw Data'!M108</f>
        <v>44530</v>
      </c>
      <c r="C114">
        <f t="shared" ca="1" si="3"/>
        <v>4</v>
      </c>
      <c r="D114">
        <f t="shared" ca="1" si="4"/>
        <v>58</v>
      </c>
      <c r="E114" s="1">
        <f t="shared" si="5"/>
        <v>44530</v>
      </c>
      <c r="I114" t="str">
        <f ca="1"/>
        <v>TRX0010</v>
      </c>
      <c r="J114">
        <f ca="1"/>
        <v>45688</v>
      </c>
      <c r="K114" t="str">
        <f ca="1"/>
        <v>CUST026</v>
      </c>
      <c r="L114" t="str">
        <f ca="1"/>
        <v>Karen Hill</v>
      </c>
      <c r="M114" t="str">
        <f ca="1"/>
        <v>P002</v>
      </c>
      <c r="N114" t="str">
        <f ca="1"/>
        <v>Smartphone</v>
      </c>
      <c r="O114" t="str">
        <f ca="1"/>
        <v>Electronics</v>
      </c>
      <c r="P114">
        <f ca="1"/>
        <v>4</v>
      </c>
      <c r="Q114">
        <f ca="1"/>
        <v>699.99</v>
      </c>
      <c r="R114" t="str">
        <f ca="1"/>
        <v>Debit Card</v>
      </c>
      <c r="S114" t="str">
        <f ca="1"/>
        <v>West</v>
      </c>
      <c r="T114" t="str">
        <f ca="1"/>
        <v>Premium</v>
      </c>
      <c r="U114">
        <f ca="1"/>
        <v>44692</v>
      </c>
      <c r="V114">
        <f ca="1"/>
        <v>2799.96</v>
      </c>
      <c r="W114">
        <f ca="1"/>
        <v>46324.554708333337</v>
      </c>
      <c r="X114" t="str">
        <f ca="1"/>
        <v>High</v>
      </c>
    </row>
    <row r="115" spans="1:24">
      <c r="A115" t="str">
        <f>'Raw Data'!D109</f>
        <v>Charles Allen</v>
      </c>
      <c r="B115" s="1">
        <f>'Raw Data'!M109</f>
        <v>44693</v>
      </c>
      <c r="C115">
        <f t="shared" ca="1" si="3"/>
        <v>4</v>
      </c>
      <c r="D115">
        <f t="shared" ca="1" si="4"/>
        <v>53</v>
      </c>
      <c r="E115" s="1">
        <f t="shared" si="5"/>
        <v>44712</v>
      </c>
      <c r="I115" t="str">
        <f ca="1"/>
        <v>TRX0069</v>
      </c>
      <c r="J115">
        <f ca="1"/>
        <v>45688</v>
      </c>
      <c r="K115" t="str">
        <f ca="1"/>
        <v>CUST029</v>
      </c>
      <c r="L115" t="str">
        <f ca="1"/>
        <v>Edward Mitchell</v>
      </c>
      <c r="M115" t="str">
        <f ca="1"/>
        <v>P010</v>
      </c>
      <c r="N115" t="str">
        <f ca="1"/>
        <v>Keyboard</v>
      </c>
      <c r="O115" t="str">
        <f ca="1"/>
        <v>Electronics</v>
      </c>
      <c r="P115">
        <f ca="1"/>
        <v>2</v>
      </c>
      <c r="Q115">
        <f ca="1"/>
        <v>89.99</v>
      </c>
      <c r="R115" t="str">
        <f ca="1"/>
        <v>Debit Card</v>
      </c>
      <c r="S115" t="str">
        <f ca="1"/>
        <v>South</v>
      </c>
      <c r="T115" t="str">
        <f ca="1"/>
        <v>Basic</v>
      </c>
      <c r="U115">
        <f ca="1"/>
        <v>44777</v>
      </c>
      <c r="V115">
        <f ca="1"/>
        <v>179.98</v>
      </c>
      <c r="W115">
        <f ca="1"/>
        <v>46324.554708333337</v>
      </c>
      <c r="X115" t="str">
        <f ca="1"/>
        <v>Low</v>
      </c>
    </row>
    <row r="116" spans="1:24">
      <c r="A116" t="str">
        <f>'Raw Data'!D110</f>
        <v>Dorothy Nelson</v>
      </c>
      <c r="B116" s="1">
        <f>'Raw Data'!M110</f>
        <v>44494</v>
      </c>
      <c r="C116">
        <f t="shared" ca="1" si="3"/>
        <v>5</v>
      </c>
      <c r="D116">
        <f t="shared" ca="1" si="4"/>
        <v>60</v>
      </c>
      <c r="E116" s="1">
        <f t="shared" si="5"/>
        <v>44500</v>
      </c>
      <c r="I116" t="str">
        <f ca="1"/>
        <v>TRX0166</v>
      </c>
      <c r="J116">
        <f ca="1"/>
        <v>45688</v>
      </c>
      <c r="K116" t="str">
        <f ca="1"/>
        <v>CUST003</v>
      </c>
      <c r="L116" t="str">
        <f ca="1"/>
        <v>Michael Brown</v>
      </c>
      <c r="M116" t="str">
        <f ca="1"/>
        <v>P010</v>
      </c>
      <c r="N116" t="str">
        <f ca="1"/>
        <v>Keyboard</v>
      </c>
      <c r="O116" t="str">
        <f ca="1"/>
        <v>Electronics</v>
      </c>
      <c r="P116">
        <f ca="1"/>
        <v>3</v>
      </c>
      <c r="Q116">
        <f ca="1"/>
        <v>89.99</v>
      </c>
      <c r="R116" t="str">
        <f ca="1"/>
        <v>Debit Card</v>
      </c>
      <c r="S116" t="str">
        <f ca="1"/>
        <v>South</v>
      </c>
      <c r="T116" t="str">
        <f ca="1"/>
        <v>Premium</v>
      </c>
      <c r="U116">
        <f ca="1"/>
        <v>45307</v>
      </c>
      <c r="V116">
        <f ca="1"/>
        <v>269.97000000000003</v>
      </c>
      <c r="W116">
        <f ca="1"/>
        <v>46324.554708333337</v>
      </c>
      <c r="X116" t="str">
        <f ca="1"/>
        <v>Low</v>
      </c>
    </row>
    <row r="117" spans="1:24">
      <c r="A117" t="str">
        <f>'Raw Data'!D111</f>
        <v>Kathleen Bennett</v>
      </c>
      <c r="B117" s="1">
        <f>'Raw Data'!M111</f>
        <v>44641</v>
      </c>
      <c r="C117">
        <f t="shared" ca="1" si="3"/>
        <v>4</v>
      </c>
      <c r="D117">
        <f t="shared" ca="1" si="4"/>
        <v>55</v>
      </c>
      <c r="E117" s="1">
        <f t="shared" si="5"/>
        <v>44651</v>
      </c>
      <c r="I117" t="str">
        <f ca="1"/>
        <v>TRX0196</v>
      </c>
      <c r="J117">
        <f ca="1"/>
        <v>45704</v>
      </c>
      <c r="K117" t="str">
        <f ca="1"/>
        <v>CUST023</v>
      </c>
      <c r="L117" t="str">
        <f ca="1"/>
        <v>Paul Baker</v>
      </c>
      <c r="M117" t="str">
        <f ca="1"/>
        <v>P010</v>
      </c>
      <c r="N117" t="str">
        <f ca="1"/>
        <v>Keyboard</v>
      </c>
      <c r="O117" t="str">
        <f ca="1"/>
        <v>Electronics</v>
      </c>
      <c r="P117">
        <f ca="1"/>
        <v>2</v>
      </c>
      <c r="Q117">
        <f ca="1"/>
        <v>89.99</v>
      </c>
      <c r="R117" t="str">
        <f ca="1"/>
        <v>PayPal</v>
      </c>
      <c r="S117" t="str">
        <f ca="1"/>
        <v>Central</v>
      </c>
      <c r="T117" t="str">
        <f ca="1"/>
        <v>Basic</v>
      </c>
      <c r="U117">
        <f ca="1"/>
        <v>45257</v>
      </c>
      <c r="V117">
        <f ca="1"/>
        <v>179.98</v>
      </c>
      <c r="W117">
        <f ca="1"/>
        <v>46324.554708333337</v>
      </c>
      <c r="X117" t="str">
        <f ca="1"/>
        <v>Low</v>
      </c>
    </row>
    <row r="118" spans="1:24">
      <c r="A118" t="str">
        <f>'Raw Data'!D112</f>
        <v>Ruth Brooks</v>
      </c>
      <c r="B118" s="1">
        <f>'Raw Data'!M112</f>
        <v>44909</v>
      </c>
      <c r="C118">
        <f t="shared" ca="1" si="3"/>
        <v>3</v>
      </c>
      <c r="D118">
        <f t="shared" ca="1" si="4"/>
        <v>46</v>
      </c>
      <c r="E118" s="1">
        <f t="shared" si="5"/>
        <v>44926</v>
      </c>
      <c r="I118" t="str">
        <f ca="1"/>
        <v>TRX0179</v>
      </c>
      <c r="J118">
        <f ca="1"/>
        <v>45707</v>
      </c>
      <c r="K118" t="str">
        <f ca="1"/>
        <v>CUST029</v>
      </c>
      <c r="L118" t="str">
        <f ca="1"/>
        <v>Edward Mitchell</v>
      </c>
      <c r="M118" t="str">
        <f ca="1"/>
        <v>P002</v>
      </c>
      <c r="N118" t="str">
        <f ca="1"/>
        <v>Smartphone</v>
      </c>
      <c r="O118" t="str">
        <f ca="1"/>
        <v>Electronics</v>
      </c>
      <c r="P118">
        <f ca="1"/>
        <v>5</v>
      </c>
      <c r="Q118">
        <f ca="1"/>
        <v>699.99</v>
      </c>
      <c r="R118" t="str">
        <f ca="1"/>
        <v>PayPal</v>
      </c>
      <c r="S118" t="str">
        <f ca="1"/>
        <v>South</v>
      </c>
      <c r="T118" t="str">
        <f ca="1"/>
        <v>Premium</v>
      </c>
      <c r="U118">
        <f ca="1"/>
        <v>45352</v>
      </c>
      <c r="V118">
        <f ca="1"/>
        <v>3499.95</v>
      </c>
      <c r="W118">
        <f ca="1"/>
        <v>46324.554708333337</v>
      </c>
      <c r="X118" t="str">
        <f ca="1"/>
        <v>High</v>
      </c>
    </row>
    <row r="119" spans="1:24">
      <c r="A119" t="str">
        <f>'Raw Data'!D113</f>
        <v>Karen Hill</v>
      </c>
      <c r="B119" s="1">
        <f>'Raw Data'!M113</f>
        <v>44993</v>
      </c>
      <c r="C119">
        <f t="shared" ca="1" si="3"/>
        <v>3</v>
      </c>
      <c r="D119">
        <f t="shared" ca="1" si="4"/>
        <v>43</v>
      </c>
      <c r="E119" s="1">
        <f t="shared" si="5"/>
        <v>45016</v>
      </c>
      <c r="I119" t="str">
        <f ca="1"/>
        <v>TRX0214</v>
      </c>
      <c r="J119">
        <f ca="1"/>
        <v>45708</v>
      </c>
      <c r="K119" t="str">
        <f ca="1"/>
        <v>CUST018</v>
      </c>
      <c r="L119" t="str">
        <f ca="1"/>
        <v>Barbara Young</v>
      </c>
      <c r="M119" t="str">
        <f ca="1"/>
        <v>P001</v>
      </c>
      <c r="N119" t="str">
        <f ca="1"/>
        <v>Laptop</v>
      </c>
      <c r="O119" t="str">
        <f ca="1"/>
        <v>Electronics</v>
      </c>
      <c r="P119">
        <f ca="1"/>
        <v>3</v>
      </c>
      <c r="Q119">
        <f ca="1"/>
        <v>899.99</v>
      </c>
      <c r="R119" t="str">
        <f ca="1"/>
        <v>Cash</v>
      </c>
      <c r="S119" t="str">
        <f ca="1"/>
        <v>East</v>
      </c>
      <c r="T119" t="str">
        <f ca="1"/>
        <v>Standard</v>
      </c>
      <c r="U119">
        <f ca="1"/>
        <v>44613</v>
      </c>
      <c r="V119">
        <f ca="1"/>
        <v>2699.97</v>
      </c>
      <c r="W119">
        <f ca="1"/>
        <v>46324.554708333337</v>
      </c>
      <c r="X119" t="str">
        <f ca="1"/>
        <v>High</v>
      </c>
    </row>
    <row r="120" spans="1:24">
      <c r="A120" t="str">
        <f>'Raw Data'!D114</f>
        <v>Sarah Davis</v>
      </c>
      <c r="B120" s="1">
        <f>'Raw Data'!M114</f>
        <v>44458</v>
      </c>
      <c r="C120">
        <f t="shared" ca="1" si="3"/>
        <v>5</v>
      </c>
      <c r="D120">
        <f t="shared" ca="1" si="4"/>
        <v>61</v>
      </c>
      <c r="E120" s="1">
        <f t="shared" si="5"/>
        <v>44469</v>
      </c>
      <c r="I120" t="str">
        <f ca="1"/>
        <v>TRX0151</v>
      </c>
      <c r="J120">
        <f ca="1"/>
        <v>45710</v>
      </c>
      <c r="K120" t="str">
        <f ca="1"/>
        <v>CUST040</v>
      </c>
      <c r="L120" t="str">
        <f ca="1"/>
        <v>Sharon Butler</v>
      </c>
      <c r="M120" t="str">
        <f ca="1"/>
        <v>P002</v>
      </c>
      <c r="N120" t="str">
        <f ca="1"/>
        <v>Smartphone</v>
      </c>
      <c r="O120" t="str">
        <f ca="1"/>
        <v>Electronics</v>
      </c>
      <c r="P120">
        <f ca="1"/>
        <v>1</v>
      </c>
      <c r="Q120">
        <f ca="1"/>
        <v>699.99</v>
      </c>
      <c r="R120" t="str">
        <f ca="1"/>
        <v>PayPal</v>
      </c>
      <c r="S120" t="str">
        <f ca="1"/>
        <v>West</v>
      </c>
      <c r="T120" t="str">
        <f ca="1"/>
        <v>Basic</v>
      </c>
      <c r="U120">
        <f ca="1"/>
        <v>44934</v>
      </c>
      <c r="V120">
        <f ca="1"/>
        <v>699.99</v>
      </c>
      <c r="W120">
        <f ca="1"/>
        <v>46324.554708333337</v>
      </c>
      <c r="X120" t="str">
        <f ca="1"/>
        <v>Medium</v>
      </c>
    </row>
    <row r="121" spans="1:24">
      <c r="A121" t="str">
        <f>'Raw Data'!D115</f>
        <v>Daniel King</v>
      </c>
      <c r="B121" s="1">
        <f>'Raw Data'!M115</f>
        <v>44446</v>
      </c>
      <c r="C121">
        <f t="shared" ca="1" si="3"/>
        <v>5</v>
      </c>
      <c r="D121">
        <f t="shared" ca="1" si="4"/>
        <v>61</v>
      </c>
      <c r="E121" s="1">
        <f t="shared" si="5"/>
        <v>44469</v>
      </c>
      <c r="I121" t="str">
        <f ca="1"/>
        <v>TRX0047</v>
      </c>
      <c r="J121">
        <f ca="1"/>
        <v>45711</v>
      </c>
      <c r="K121" t="str">
        <f ca="1"/>
        <v>CUST042</v>
      </c>
      <c r="L121" t="str">
        <f ca="1"/>
        <v>Ruth Brooks</v>
      </c>
      <c r="M121" t="str">
        <f ca="1"/>
        <v>P002</v>
      </c>
      <c r="N121" t="str">
        <f ca="1"/>
        <v>Smartphone</v>
      </c>
      <c r="O121" t="str">
        <f ca="1"/>
        <v>Electronics</v>
      </c>
      <c r="P121">
        <f ca="1"/>
        <v>1</v>
      </c>
      <c r="Q121">
        <f ca="1"/>
        <v>699.99</v>
      </c>
      <c r="R121" t="str">
        <f ca="1"/>
        <v>Cash</v>
      </c>
      <c r="S121" t="str">
        <f ca="1"/>
        <v>North</v>
      </c>
      <c r="T121" t="str">
        <f ca="1"/>
        <v>Premium</v>
      </c>
      <c r="U121">
        <f ca="1"/>
        <v>44583</v>
      </c>
      <c r="V121">
        <f ca="1"/>
        <v>699.99</v>
      </c>
      <c r="W121">
        <f ca="1"/>
        <v>46324.554708333337</v>
      </c>
      <c r="X121" t="str">
        <f ca="1"/>
        <v>Medium</v>
      </c>
    </row>
    <row r="122" spans="1:24">
      <c r="A122" t="str">
        <f>'Raw Data'!D116</f>
        <v>William White</v>
      </c>
      <c r="B122" s="1">
        <f>'Raw Data'!M116</f>
        <v>44482</v>
      </c>
      <c r="C122">
        <f t="shared" ca="1" si="3"/>
        <v>5</v>
      </c>
      <c r="D122">
        <f t="shared" ca="1" si="4"/>
        <v>60</v>
      </c>
      <c r="E122" s="1">
        <f t="shared" si="5"/>
        <v>44500</v>
      </c>
      <c r="I122" t="str">
        <f ca="1"/>
        <v>TRX0062</v>
      </c>
      <c r="J122">
        <f ca="1"/>
        <v>45711</v>
      </c>
      <c r="K122" t="str">
        <f ca="1"/>
        <v>CUST016</v>
      </c>
      <c r="L122" t="str">
        <f ca="1"/>
        <v>Elizabeth Hall</v>
      </c>
      <c r="M122" t="str">
        <f ca="1"/>
        <v>P010</v>
      </c>
      <c r="N122" t="str">
        <f ca="1"/>
        <v>Keyboard</v>
      </c>
      <c r="O122" t="str">
        <f ca="1"/>
        <v>Electronics</v>
      </c>
      <c r="P122">
        <f ca="1"/>
        <v>5</v>
      </c>
      <c r="Q122">
        <f ca="1"/>
        <v>89.99</v>
      </c>
      <c r="R122" t="str">
        <f ca="1"/>
        <v>PayPal</v>
      </c>
      <c r="S122" t="str">
        <f ca="1"/>
        <v>West</v>
      </c>
      <c r="T122" t="str">
        <f ca="1"/>
        <v>Premium</v>
      </c>
      <c r="U122">
        <f ca="1"/>
        <v>45140</v>
      </c>
      <c r="V122">
        <f ca="1"/>
        <v>449.95</v>
      </c>
      <c r="W122">
        <f ca="1"/>
        <v>46324.554708333337</v>
      </c>
      <c r="X122" t="str">
        <f ca="1"/>
        <v>Low</v>
      </c>
    </row>
    <row r="123" spans="1:24">
      <c r="A123" t="str">
        <f>'Raw Data'!D117</f>
        <v>Peter Richardson</v>
      </c>
      <c r="B123" s="1">
        <f>'Raw Data'!M117</f>
        <v>44618</v>
      </c>
      <c r="C123">
        <f t="shared" ca="1" si="3"/>
        <v>4</v>
      </c>
      <c r="D123">
        <f t="shared" ca="1" si="4"/>
        <v>56</v>
      </c>
      <c r="E123" s="1">
        <f t="shared" si="5"/>
        <v>44620</v>
      </c>
      <c r="I123" t="str">
        <f ca="1"/>
        <v>TRX0226</v>
      </c>
      <c r="J123">
        <f ca="1"/>
        <v>45720</v>
      </c>
      <c r="K123" t="str">
        <f ca="1"/>
        <v>CUST039</v>
      </c>
      <c r="L123" t="str">
        <f ca="1"/>
        <v>Lawrence Reed</v>
      </c>
      <c r="M123" t="str">
        <f ca="1"/>
        <v>P002</v>
      </c>
      <c r="N123" t="str">
        <f ca="1"/>
        <v>Smartphone</v>
      </c>
      <c r="O123" t="str">
        <f ca="1"/>
        <v>Electronics</v>
      </c>
      <c r="P123">
        <f ca="1"/>
        <v>5</v>
      </c>
      <c r="Q123">
        <f ca="1"/>
        <v>699.99</v>
      </c>
      <c r="R123" t="str">
        <f ca="1"/>
        <v>Debit Card</v>
      </c>
      <c r="S123" t="str">
        <f ca="1"/>
        <v>East</v>
      </c>
      <c r="T123" t="str">
        <f ca="1"/>
        <v>Premium</v>
      </c>
      <c r="U123">
        <f ca="1"/>
        <v>45161</v>
      </c>
      <c r="V123">
        <f ca="1"/>
        <v>3499.95</v>
      </c>
      <c r="W123">
        <f ca="1"/>
        <v>46324.554708333337</v>
      </c>
      <c r="X123" t="str">
        <f ca="1"/>
        <v>High</v>
      </c>
    </row>
    <row r="124" spans="1:24">
      <c r="A124" t="str">
        <f>'Raw Data'!D118</f>
        <v>Sandra Phillips</v>
      </c>
      <c r="B124" s="1">
        <f>'Raw Data'!M118</f>
        <v>45157</v>
      </c>
      <c r="C124">
        <f t="shared" ca="1" si="3"/>
        <v>3</v>
      </c>
      <c r="D124">
        <f t="shared" ca="1" si="4"/>
        <v>38</v>
      </c>
      <c r="E124" s="1">
        <f t="shared" si="5"/>
        <v>45169</v>
      </c>
      <c r="I124" t="str">
        <f ca="1"/>
        <v>TRX0233</v>
      </c>
      <c r="J124">
        <f ca="1"/>
        <v>45723</v>
      </c>
      <c r="K124" t="str">
        <f ca="1"/>
        <v>CUST023</v>
      </c>
      <c r="L124" t="str">
        <f ca="1"/>
        <v>Paul Baker</v>
      </c>
      <c r="M124" t="str">
        <f ca="1"/>
        <v>P010</v>
      </c>
      <c r="N124" t="str">
        <f ca="1"/>
        <v>Keyboard</v>
      </c>
      <c r="O124" t="str">
        <f ca="1"/>
        <v>Electronics</v>
      </c>
      <c r="P124">
        <f ca="1"/>
        <v>2</v>
      </c>
      <c r="Q124">
        <f ca="1"/>
        <v>89.99</v>
      </c>
      <c r="R124" t="str">
        <f ca="1"/>
        <v>Credit Card</v>
      </c>
      <c r="S124" t="str">
        <f ca="1"/>
        <v>West</v>
      </c>
      <c r="T124" t="str">
        <f ca="1"/>
        <v>Premium</v>
      </c>
      <c r="U124">
        <f ca="1"/>
        <v>45295</v>
      </c>
      <c r="V124">
        <f ca="1"/>
        <v>179.98</v>
      </c>
      <c r="W124">
        <f ca="1"/>
        <v>46324.554708333337</v>
      </c>
      <c r="X124" t="str">
        <f ca="1"/>
        <v>Low</v>
      </c>
    </row>
    <row r="125" spans="1:24">
      <c r="A125" t="str">
        <f>'Raw Data'!D119</f>
        <v>Linda Martin</v>
      </c>
      <c r="B125" s="1">
        <f>'Raw Data'!M119</f>
        <v>44886</v>
      </c>
      <c r="C125">
        <f t="shared" ca="1" si="3"/>
        <v>3</v>
      </c>
      <c r="D125">
        <f t="shared" ca="1" si="4"/>
        <v>47</v>
      </c>
      <c r="E125" s="1">
        <f t="shared" si="5"/>
        <v>44895</v>
      </c>
      <c r="I125" t="str">
        <f ca="1"/>
        <v>TRX0175</v>
      </c>
      <c r="J125">
        <f ca="1"/>
        <v>45723</v>
      </c>
      <c r="K125" t="str">
        <f ca="1"/>
        <v>CUST030</v>
      </c>
      <c r="L125" t="str">
        <f ca="1"/>
        <v>Helen Roberts</v>
      </c>
      <c r="M125" t="str">
        <f ca="1"/>
        <v>P009</v>
      </c>
      <c r="N125" t="str">
        <f ca="1"/>
        <v>Monitor</v>
      </c>
      <c r="O125" t="str">
        <f ca="1"/>
        <v>Electronics</v>
      </c>
      <c r="P125">
        <f ca="1"/>
        <v>5</v>
      </c>
      <c r="Q125">
        <f ca="1"/>
        <v>249.99</v>
      </c>
      <c r="R125" t="str">
        <f ca="1"/>
        <v>Cash</v>
      </c>
      <c r="S125" t="str">
        <f ca="1"/>
        <v>East</v>
      </c>
      <c r="T125" t="str">
        <f ca="1"/>
        <v>Standard</v>
      </c>
      <c r="U125">
        <f ca="1"/>
        <v>44540</v>
      </c>
      <c r="V125">
        <f ca="1"/>
        <v>1249.95</v>
      </c>
      <c r="W125">
        <f ca="1"/>
        <v>46324.554708333337</v>
      </c>
      <c r="X125" t="str">
        <f ca="1"/>
        <v>High</v>
      </c>
    </row>
    <row r="126" spans="1:24">
      <c r="A126" t="str">
        <f>'Raw Data'!D120</f>
        <v>Patricia Moore</v>
      </c>
      <c r="B126" s="1">
        <f>'Raw Data'!M120</f>
        <v>44569</v>
      </c>
      <c r="C126">
        <f t="shared" ca="1" si="3"/>
        <v>4</v>
      </c>
      <c r="D126">
        <f t="shared" ca="1" si="4"/>
        <v>57</v>
      </c>
      <c r="E126" s="1">
        <f t="shared" si="5"/>
        <v>44592</v>
      </c>
      <c r="I126" t="str">
        <f ca="1"/>
        <v>TRX0016</v>
      </c>
      <c r="J126">
        <f ca="1"/>
        <v>45724</v>
      </c>
      <c r="K126" t="str">
        <f ca="1"/>
        <v>CUST035</v>
      </c>
      <c r="L126" t="str">
        <f ca="1"/>
        <v>Harry Morgan</v>
      </c>
      <c r="M126" t="str">
        <f ca="1"/>
        <v>P001</v>
      </c>
      <c r="N126" t="str">
        <f ca="1"/>
        <v>Laptop</v>
      </c>
      <c r="O126" t="str">
        <f ca="1"/>
        <v>Electronics</v>
      </c>
      <c r="P126">
        <f ca="1"/>
        <v>5</v>
      </c>
      <c r="Q126">
        <f ca="1"/>
        <v>899.99</v>
      </c>
      <c r="R126" t="str">
        <f ca="1"/>
        <v>PayPal</v>
      </c>
      <c r="S126" t="str">
        <f ca="1"/>
        <v>East</v>
      </c>
      <c r="T126" t="str">
        <f ca="1"/>
        <v>Premium</v>
      </c>
      <c r="U126">
        <f ca="1"/>
        <v>45389</v>
      </c>
      <c r="V126">
        <f ca="1"/>
        <v>4499.95</v>
      </c>
      <c r="W126">
        <f ca="1"/>
        <v>46324.554708333337</v>
      </c>
      <c r="X126" t="str">
        <f ca="1"/>
        <v>High</v>
      </c>
    </row>
    <row r="127" spans="1:24">
      <c r="A127" t="str">
        <f>'Raw Data'!D121</f>
        <v>Richard Lee</v>
      </c>
      <c r="B127" s="1">
        <f>'Raw Data'!M121</f>
        <v>44953</v>
      </c>
      <c r="C127">
        <f t="shared" ca="1" si="3"/>
        <v>3</v>
      </c>
      <c r="D127">
        <f t="shared" ca="1" si="4"/>
        <v>45</v>
      </c>
      <c r="E127" s="1">
        <f t="shared" si="5"/>
        <v>44957</v>
      </c>
      <c r="I127" t="str">
        <f ca="1"/>
        <v>TRX0038</v>
      </c>
      <c r="J127">
        <f ca="1"/>
        <v>45726</v>
      </c>
      <c r="K127" t="str">
        <f ca="1"/>
        <v>CUST035</v>
      </c>
      <c r="L127" t="str">
        <f ca="1"/>
        <v>Harry Morgan</v>
      </c>
      <c r="M127" t="str">
        <f ca="1"/>
        <v>P009</v>
      </c>
      <c r="N127" t="str">
        <f ca="1"/>
        <v>Monitor</v>
      </c>
      <c r="O127" t="str">
        <f ca="1"/>
        <v>Electronics</v>
      </c>
      <c r="P127">
        <f ca="1"/>
        <v>1</v>
      </c>
      <c r="Q127">
        <f ca="1"/>
        <v>249.99</v>
      </c>
      <c r="R127" t="str">
        <f ca="1"/>
        <v>Cash</v>
      </c>
      <c r="S127" t="str">
        <f ca="1"/>
        <v>North</v>
      </c>
      <c r="T127" t="str">
        <f ca="1"/>
        <v>Standard</v>
      </c>
      <c r="U127">
        <f ca="1"/>
        <v>45117</v>
      </c>
      <c r="V127">
        <f ca="1"/>
        <v>249.99</v>
      </c>
      <c r="W127">
        <f ca="1"/>
        <v>46324.554708333337</v>
      </c>
      <c r="X127" t="str">
        <f ca="1"/>
        <v>Low</v>
      </c>
    </row>
    <row r="128" spans="1:24">
      <c r="A128" t="str">
        <f>'Raw Data'!D122</f>
        <v>Michael Brown</v>
      </c>
      <c r="B128" s="1">
        <f>'Raw Data'!M122</f>
        <v>44460</v>
      </c>
      <c r="C128">
        <f t="shared" ca="1" si="3"/>
        <v>5</v>
      </c>
      <c r="D128">
        <f t="shared" ca="1" si="4"/>
        <v>61</v>
      </c>
      <c r="E128" s="1">
        <f t="shared" si="5"/>
        <v>44469</v>
      </c>
      <c r="I128" t="str">
        <f ca="1"/>
        <v>TRX0124</v>
      </c>
      <c r="J128">
        <f ca="1"/>
        <v>45737</v>
      </c>
      <c r="K128" t="str">
        <f ca="1"/>
        <v>CUST040</v>
      </c>
      <c r="L128" t="str">
        <f ca="1"/>
        <v>Sharon Butler</v>
      </c>
      <c r="M128" t="str">
        <f ca="1"/>
        <v>P001</v>
      </c>
      <c r="N128" t="str">
        <f ca="1"/>
        <v>Laptop</v>
      </c>
      <c r="O128" t="str">
        <f ca="1"/>
        <v>Electronics</v>
      </c>
      <c r="P128">
        <f ca="1"/>
        <v>3</v>
      </c>
      <c r="Q128">
        <f ca="1"/>
        <v>899.99</v>
      </c>
      <c r="R128" t="str">
        <f ca="1"/>
        <v>Debit Card</v>
      </c>
      <c r="S128" t="str">
        <f ca="1"/>
        <v>North</v>
      </c>
      <c r="T128" t="str">
        <f ca="1"/>
        <v>Premium</v>
      </c>
      <c r="U128">
        <f ca="1"/>
        <v>44876</v>
      </c>
      <c r="V128">
        <f ca="1"/>
        <v>2699.97</v>
      </c>
      <c r="W128">
        <f ca="1"/>
        <v>46324.554708333337</v>
      </c>
      <c r="X128" t="str">
        <f ca="1"/>
        <v>High</v>
      </c>
    </row>
    <row r="129" spans="1:24">
      <c r="A129" t="str">
        <f>'Raw Data'!D123</f>
        <v>Maria Garcia</v>
      </c>
      <c r="B129" s="1">
        <f>'Raw Data'!M123</f>
        <v>44579</v>
      </c>
      <c r="C129">
        <f t="shared" ca="1" si="3"/>
        <v>4</v>
      </c>
      <c r="D129">
        <f t="shared" ca="1" si="4"/>
        <v>57</v>
      </c>
      <c r="E129" s="1">
        <f t="shared" si="5"/>
        <v>44592</v>
      </c>
      <c r="I129" t="str">
        <f ca="1"/>
        <v>TRX0013</v>
      </c>
      <c r="J129">
        <f ca="1"/>
        <v>45737</v>
      </c>
      <c r="K129" t="str">
        <f ca="1"/>
        <v>CUST024</v>
      </c>
      <c r="L129" t="str">
        <f ca="1"/>
        <v>Dorothy Nelson</v>
      </c>
      <c r="M129" t="str">
        <f ca="1"/>
        <v>P001</v>
      </c>
      <c r="N129" t="str">
        <f ca="1"/>
        <v>Laptop</v>
      </c>
      <c r="O129" t="str">
        <f ca="1"/>
        <v>Electronics</v>
      </c>
      <c r="P129">
        <f ca="1"/>
        <v>3</v>
      </c>
      <c r="Q129">
        <f ca="1"/>
        <v>899.99</v>
      </c>
      <c r="R129" t="str">
        <f ca="1"/>
        <v>PayPal</v>
      </c>
      <c r="S129" t="str">
        <f ca="1"/>
        <v>North</v>
      </c>
      <c r="T129" t="str">
        <f ca="1"/>
        <v>Basic</v>
      </c>
      <c r="U129">
        <f ca="1"/>
        <v>44975</v>
      </c>
      <c r="V129">
        <f ca="1"/>
        <v>2699.97</v>
      </c>
      <c r="W129">
        <f ca="1"/>
        <v>46324.554708333337</v>
      </c>
      <c r="X129" t="str">
        <f ca="1"/>
        <v>High</v>
      </c>
    </row>
    <row r="130" spans="1:24">
      <c r="A130" t="str">
        <f>'Raw Data'!D124</f>
        <v>Sandra Phillips</v>
      </c>
      <c r="B130" s="1">
        <f>'Raw Data'!M124</f>
        <v>45076</v>
      </c>
      <c r="C130">
        <f t="shared" ca="1" si="3"/>
        <v>3</v>
      </c>
      <c r="D130">
        <f t="shared" ca="1" si="4"/>
        <v>40</v>
      </c>
      <c r="E130" s="1">
        <f t="shared" si="5"/>
        <v>45077</v>
      </c>
      <c r="I130" t="str">
        <f ca="1"/>
        <v>TRX0213</v>
      </c>
      <c r="J130">
        <f ca="1"/>
        <v>45745</v>
      </c>
      <c r="K130" t="str">
        <f ca="1"/>
        <v>CUST020</v>
      </c>
      <c r="L130" t="str">
        <f ca="1"/>
        <v>Margaret Wright</v>
      </c>
      <c r="M130" t="str">
        <f ca="1"/>
        <v>P010</v>
      </c>
      <c r="N130" t="str">
        <f ca="1"/>
        <v>Keyboard</v>
      </c>
      <c r="O130" t="str">
        <f ca="1"/>
        <v>Electronics</v>
      </c>
      <c r="P130">
        <f ca="1"/>
        <v>5</v>
      </c>
      <c r="Q130">
        <f ca="1"/>
        <v>89.99</v>
      </c>
      <c r="R130" t="str">
        <f ca="1"/>
        <v>PayPal</v>
      </c>
      <c r="S130" t="str">
        <f ca="1"/>
        <v>South</v>
      </c>
      <c r="T130" t="str">
        <f ca="1"/>
        <v>Basic</v>
      </c>
      <c r="U130">
        <f ca="1"/>
        <v>44704</v>
      </c>
      <c r="V130">
        <f ca="1"/>
        <v>449.95</v>
      </c>
      <c r="W130">
        <f ca="1"/>
        <v>46324.554708333337</v>
      </c>
      <c r="X130" t="str">
        <f ca="1"/>
        <v>Low</v>
      </c>
    </row>
    <row r="131" spans="1:24">
      <c r="A131" t="str">
        <f>'Raw Data'!D125</f>
        <v>Elizabeth Hall</v>
      </c>
      <c r="B131" s="1">
        <f>'Raw Data'!M125</f>
        <v>45274</v>
      </c>
      <c r="C131">
        <f t="shared" ca="1" si="3"/>
        <v>2</v>
      </c>
      <c r="D131">
        <f t="shared" ca="1" si="4"/>
        <v>34</v>
      </c>
      <c r="E131" s="1">
        <f t="shared" si="5"/>
        <v>45291</v>
      </c>
      <c r="I131" t="str">
        <f ca="1"/>
        <v>TRX0250</v>
      </c>
      <c r="J131">
        <f ca="1"/>
        <v>45746</v>
      </c>
      <c r="K131" t="str">
        <f ca="1"/>
        <v>CUST026</v>
      </c>
      <c r="L131" t="str">
        <f ca="1"/>
        <v>Karen Hill</v>
      </c>
      <c r="M131" t="str">
        <f ca="1"/>
        <v>P010</v>
      </c>
      <c r="N131" t="str">
        <f ca="1"/>
        <v>Keyboard</v>
      </c>
      <c r="O131" t="str">
        <f ca="1"/>
        <v>Electronics</v>
      </c>
      <c r="P131">
        <f ca="1"/>
        <v>2</v>
      </c>
      <c r="Q131">
        <f ca="1"/>
        <v>89.99</v>
      </c>
      <c r="R131" t="str">
        <f ca="1"/>
        <v>Debit Card</v>
      </c>
      <c r="S131" t="str">
        <f ca="1"/>
        <v>West</v>
      </c>
      <c r="T131" t="str">
        <f ca="1"/>
        <v>Premium</v>
      </c>
      <c r="U131">
        <f ca="1"/>
        <v>44522</v>
      </c>
      <c r="V131">
        <f ca="1"/>
        <v>179.98</v>
      </c>
      <c r="W131">
        <f ca="1"/>
        <v>46324.554708333337</v>
      </c>
      <c r="X131" t="str">
        <f ca="1"/>
        <v>Low</v>
      </c>
    </row>
    <row r="132" spans="1:24">
      <c r="A132" t="str">
        <f>'Raw Data'!D126</f>
        <v>Carol Evans</v>
      </c>
      <c r="B132" s="1">
        <f>'Raw Data'!M126</f>
        <v>44940</v>
      </c>
      <c r="C132">
        <f t="shared" ca="1" si="3"/>
        <v>3</v>
      </c>
      <c r="D132">
        <f t="shared" ca="1" si="4"/>
        <v>45</v>
      </c>
      <c r="E132" s="1">
        <f t="shared" si="5"/>
        <v>44957</v>
      </c>
      <c r="I132" t="str">
        <f ca="1"/>
        <v>TRX0068</v>
      </c>
      <c r="J132">
        <f ca="1"/>
        <v>45748</v>
      </c>
      <c r="K132" t="str">
        <f ca="1"/>
        <v>CUST044</v>
      </c>
      <c r="L132" t="str">
        <f ca="1"/>
        <v>Cynthia Price</v>
      </c>
      <c r="M132" t="str">
        <f ca="1"/>
        <v>P002</v>
      </c>
      <c r="N132" t="str">
        <f ca="1"/>
        <v>Smartphone</v>
      </c>
      <c r="O132" t="str">
        <f ca="1"/>
        <v>Electronics</v>
      </c>
      <c r="P132">
        <f ca="1"/>
        <v>2</v>
      </c>
      <c r="Q132">
        <f ca="1"/>
        <v>699.99</v>
      </c>
      <c r="R132" t="str">
        <f ca="1"/>
        <v>PayPal</v>
      </c>
      <c r="S132" t="str">
        <f ca="1"/>
        <v>North</v>
      </c>
      <c r="T132" t="str">
        <f ca="1"/>
        <v>Standard</v>
      </c>
      <c r="U132">
        <f ca="1"/>
        <v>44618</v>
      </c>
      <c r="V132">
        <f ca="1"/>
        <v>1399.98</v>
      </c>
      <c r="W132">
        <f ca="1"/>
        <v>46324.554708333337</v>
      </c>
      <c r="X132" t="str">
        <f ca="1"/>
        <v>High</v>
      </c>
    </row>
    <row r="133" spans="1:24">
      <c r="A133" t="str">
        <f>'Raw Data'!D127</f>
        <v>Daniel King</v>
      </c>
      <c r="B133" s="1">
        <f>'Raw Data'!M127</f>
        <v>45174</v>
      </c>
      <c r="C133">
        <f t="shared" ca="1" si="3"/>
        <v>3</v>
      </c>
      <c r="D133">
        <f t="shared" ca="1" si="4"/>
        <v>37</v>
      </c>
      <c r="E133" s="1">
        <f t="shared" si="5"/>
        <v>45199</v>
      </c>
      <c r="I133" t="str">
        <f ca="1"/>
        <v>TRX0144</v>
      </c>
      <c r="J133">
        <f ca="1"/>
        <v>45749</v>
      </c>
      <c r="K133" t="str">
        <f ca="1"/>
        <v>CUST029</v>
      </c>
      <c r="L133" t="str">
        <f ca="1"/>
        <v>Edward Mitchell</v>
      </c>
      <c r="M133" t="str">
        <f ca="1"/>
        <v>P001</v>
      </c>
      <c r="N133" t="str">
        <f ca="1"/>
        <v>Laptop</v>
      </c>
      <c r="O133" t="str">
        <f ca="1"/>
        <v>Electronics</v>
      </c>
      <c r="P133">
        <f ca="1"/>
        <v>3</v>
      </c>
      <c r="Q133">
        <f ca="1"/>
        <v>899.99</v>
      </c>
      <c r="R133" t="str">
        <f ca="1"/>
        <v>Cash</v>
      </c>
      <c r="S133" t="str">
        <f ca="1"/>
        <v>Central</v>
      </c>
      <c r="T133" t="str">
        <f ca="1"/>
        <v>Standard</v>
      </c>
      <c r="U133">
        <f ca="1"/>
        <v>44953</v>
      </c>
      <c r="V133">
        <f ca="1"/>
        <v>2699.97</v>
      </c>
      <c r="W133">
        <f ca="1"/>
        <v>46324.554708333337</v>
      </c>
      <c r="X133" t="str">
        <f ca="1"/>
        <v>High</v>
      </c>
    </row>
    <row r="134" spans="1:24">
      <c r="A134" t="str">
        <f>'Raw Data'!D128</f>
        <v>George Adams</v>
      </c>
      <c r="B134" s="1">
        <f>'Raw Data'!M128</f>
        <v>45215</v>
      </c>
      <c r="C134">
        <f t="shared" ca="1" si="3"/>
        <v>3</v>
      </c>
      <c r="D134">
        <f t="shared" ca="1" si="4"/>
        <v>36</v>
      </c>
      <c r="E134" s="1">
        <f t="shared" si="5"/>
        <v>45230</v>
      </c>
      <c r="I134" t="str">
        <f ca="1"/>
        <v>TRX0116</v>
      </c>
      <c r="J134">
        <f ca="1"/>
        <v>45756</v>
      </c>
      <c r="K134" t="str">
        <f ca="1"/>
        <v>CUST009</v>
      </c>
      <c r="L134" t="str">
        <f ca="1"/>
        <v>Robert Thomas</v>
      </c>
      <c r="M134" t="str">
        <f ca="1"/>
        <v>P010</v>
      </c>
      <c r="N134" t="str">
        <f ca="1"/>
        <v>Keyboard</v>
      </c>
      <c r="O134" t="str">
        <f ca="1"/>
        <v>Electronics</v>
      </c>
      <c r="P134">
        <f ca="1"/>
        <v>1</v>
      </c>
      <c r="Q134">
        <f ca="1"/>
        <v>89.99</v>
      </c>
      <c r="R134" t="str">
        <f ca="1"/>
        <v>Debit Card</v>
      </c>
      <c r="S134" t="str">
        <f ca="1"/>
        <v>East</v>
      </c>
      <c r="T134" t="str">
        <f ca="1"/>
        <v>Basic</v>
      </c>
      <c r="U134">
        <f ca="1"/>
        <v>45346</v>
      </c>
      <c r="V134">
        <f ca="1"/>
        <v>89.99</v>
      </c>
      <c r="W134">
        <f ca="1"/>
        <v>46324.554708333337</v>
      </c>
      <c r="X134" t="str">
        <f ca="1"/>
        <v>Low</v>
      </c>
    </row>
    <row r="135" spans="1:24">
      <c r="A135" t="str">
        <f>'Raw Data'!D129</f>
        <v>Barbara Young</v>
      </c>
      <c r="B135" s="1">
        <f>'Raw Data'!M129</f>
        <v>45008</v>
      </c>
      <c r="C135">
        <f t="shared" ca="1" si="3"/>
        <v>3</v>
      </c>
      <c r="D135">
        <f t="shared" ca="1" si="4"/>
        <v>43</v>
      </c>
      <c r="E135" s="1">
        <f t="shared" si="5"/>
        <v>45016</v>
      </c>
      <c r="I135" t="str">
        <f ca="1"/>
        <v>TRX0120</v>
      </c>
      <c r="J135">
        <f ca="1"/>
        <v>45758</v>
      </c>
      <c r="K135" t="str">
        <f ca="1"/>
        <v>CUST045</v>
      </c>
      <c r="L135" t="str">
        <f ca="1"/>
        <v>Douglas Watson</v>
      </c>
      <c r="M135" t="str">
        <f ca="1"/>
        <v>P002</v>
      </c>
      <c r="N135" t="str">
        <f ca="1"/>
        <v>Smartphone</v>
      </c>
      <c r="O135" t="str">
        <f ca="1"/>
        <v>Electronics</v>
      </c>
      <c r="P135">
        <f ca="1"/>
        <v>3</v>
      </c>
      <c r="Q135">
        <f ca="1"/>
        <v>699.99</v>
      </c>
      <c r="R135" t="str">
        <f ca="1"/>
        <v>PayPal</v>
      </c>
      <c r="S135" t="str">
        <f ca="1"/>
        <v>North</v>
      </c>
      <c r="T135" t="str">
        <f ca="1"/>
        <v>Basic</v>
      </c>
      <c r="U135">
        <f ca="1"/>
        <v>44909</v>
      </c>
      <c r="V135">
        <f ca="1"/>
        <v>2099.9699999999998</v>
      </c>
      <c r="W135">
        <f ca="1"/>
        <v>46324.554708333337</v>
      </c>
      <c r="X135" t="str">
        <f ca="1"/>
        <v>High</v>
      </c>
    </row>
    <row r="136" spans="1:24">
      <c r="A136" t="str">
        <f>'Raw Data'!D130</f>
        <v>Raymond Ross</v>
      </c>
      <c r="B136" s="1">
        <f>'Raw Data'!M130</f>
        <v>45385</v>
      </c>
      <c r="C136">
        <f t="shared" ca="1" si="3"/>
        <v>2</v>
      </c>
      <c r="D136">
        <f t="shared" ca="1" si="4"/>
        <v>30</v>
      </c>
      <c r="E136" s="1">
        <f t="shared" si="5"/>
        <v>45412</v>
      </c>
      <c r="I136" t="str">
        <f ca="1"/>
        <v>TRX0103</v>
      </c>
      <c r="J136">
        <f ca="1"/>
        <v>45758</v>
      </c>
      <c r="K136" t="str">
        <f ca="1"/>
        <v>CUST039</v>
      </c>
      <c r="L136" t="str">
        <f ca="1"/>
        <v>Lawrence Reed</v>
      </c>
      <c r="M136" t="str">
        <f ca="1"/>
        <v>P010</v>
      </c>
      <c r="N136" t="str">
        <f ca="1"/>
        <v>Keyboard</v>
      </c>
      <c r="O136" t="str">
        <f ca="1"/>
        <v>Electronics</v>
      </c>
      <c r="P136">
        <f ca="1"/>
        <v>2</v>
      </c>
      <c r="Q136">
        <f ca="1"/>
        <v>89.99</v>
      </c>
      <c r="R136" t="str">
        <f ca="1"/>
        <v>Debit Card</v>
      </c>
      <c r="S136" t="str">
        <f ca="1"/>
        <v>East</v>
      </c>
      <c r="T136" t="str">
        <f ca="1"/>
        <v>Basic</v>
      </c>
      <c r="U136">
        <f ca="1"/>
        <v>45088</v>
      </c>
      <c r="V136">
        <f ca="1"/>
        <v>179.98</v>
      </c>
      <c r="W136">
        <f ca="1"/>
        <v>46324.554708333337</v>
      </c>
      <c r="X136" t="str">
        <f ca="1"/>
        <v>Low</v>
      </c>
    </row>
    <row r="137" spans="1:24">
      <c r="A137" t="str">
        <f>'Raw Data'!D131</f>
        <v>Sharon Butler</v>
      </c>
      <c r="B137" s="1">
        <f>'Raw Data'!M131</f>
        <v>45369</v>
      </c>
      <c r="C137">
        <f t="shared" ref="C137:C200" ca="1" si="6">DATEDIF(B137,TODAY(),"Y")</f>
        <v>2</v>
      </c>
      <c r="D137">
        <f t="shared" ref="D137:D200" ca="1" si="7">DATEDIF(B137,$B$3,"M")</f>
        <v>31</v>
      </c>
      <c r="E137" s="1">
        <f t="shared" ref="E137:E200" si="8">EOMONTH(B137,0)</f>
        <v>45382</v>
      </c>
      <c r="I137" t="str">
        <f ca="1"/>
        <v>TRX0064</v>
      </c>
      <c r="J137">
        <f ca="1"/>
        <v>45758</v>
      </c>
      <c r="K137" t="str">
        <f ca="1"/>
        <v>CUST031</v>
      </c>
      <c r="L137" t="str">
        <f ca="1"/>
        <v>Steven Turner</v>
      </c>
      <c r="M137" t="str">
        <f ca="1"/>
        <v>P010</v>
      </c>
      <c r="N137" t="str">
        <f ca="1"/>
        <v>Keyboard</v>
      </c>
      <c r="O137" t="str">
        <f ca="1"/>
        <v>Electronics</v>
      </c>
      <c r="P137">
        <f ca="1"/>
        <v>3</v>
      </c>
      <c r="Q137">
        <f ca="1"/>
        <v>89.99</v>
      </c>
      <c r="R137" t="str">
        <f ca="1"/>
        <v>Debit Card</v>
      </c>
      <c r="S137" t="str">
        <f ca="1"/>
        <v>North</v>
      </c>
      <c r="T137" t="str">
        <f ca="1"/>
        <v>Premium</v>
      </c>
      <c r="U137">
        <f ca="1"/>
        <v>44878</v>
      </c>
      <c r="V137">
        <f ca="1"/>
        <v>269.97000000000003</v>
      </c>
      <c r="W137">
        <f ca="1"/>
        <v>46324.554708333337</v>
      </c>
      <c r="X137" t="str">
        <f ca="1"/>
        <v>Low</v>
      </c>
    </row>
    <row r="138" spans="1:24">
      <c r="A138" t="str">
        <f>'Raw Data'!D132</f>
        <v>Lawrence Reed</v>
      </c>
      <c r="B138" s="1">
        <f>'Raw Data'!M132</f>
        <v>44916</v>
      </c>
      <c r="C138">
        <f t="shared" ca="1" si="6"/>
        <v>3</v>
      </c>
      <c r="D138">
        <f t="shared" ca="1" si="7"/>
        <v>46</v>
      </c>
      <c r="E138" s="1">
        <f t="shared" si="8"/>
        <v>44926</v>
      </c>
    </row>
    <row r="139" spans="1:24">
      <c r="A139" t="str">
        <f>'Raw Data'!D133</f>
        <v>Lawrence Reed</v>
      </c>
      <c r="B139" s="1">
        <f>'Raw Data'!M133</f>
        <v>44551</v>
      </c>
      <c r="C139">
        <f t="shared" ca="1" si="6"/>
        <v>4</v>
      </c>
      <c r="D139">
        <f t="shared" ca="1" si="7"/>
        <v>58</v>
      </c>
      <c r="E139" s="1">
        <f t="shared" si="8"/>
        <v>44561</v>
      </c>
    </row>
    <row r="140" spans="1:24">
      <c r="A140" t="str">
        <f>'Raw Data'!D134</f>
        <v>Kathleen Bennett</v>
      </c>
      <c r="B140" s="1">
        <f>'Raw Data'!M134</f>
        <v>44473</v>
      </c>
      <c r="C140">
        <f t="shared" ca="1" si="6"/>
        <v>5</v>
      </c>
      <c r="D140">
        <f t="shared" ca="1" si="7"/>
        <v>60</v>
      </c>
      <c r="E140" s="1">
        <f t="shared" si="8"/>
        <v>44500</v>
      </c>
    </row>
    <row r="141" spans="1:24">
      <c r="A141" t="str">
        <f>'Raw Data'!D135</f>
        <v>Sarah Davis</v>
      </c>
      <c r="B141" s="1">
        <f>'Raw Data'!M135</f>
        <v>44992</v>
      </c>
      <c r="C141">
        <f t="shared" ca="1" si="6"/>
        <v>3</v>
      </c>
      <c r="D141">
        <f t="shared" ca="1" si="7"/>
        <v>43</v>
      </c>
      <c r="E141" s="1">
        <f t="shared" si="8"/>
        <v>45016</v>
      </c>
    </row>
    <row r="142" spans="1:24">
      <c r="A142" t="str">
        <f>'Raw Data'!D136</f>
        <v>Betty Campbell</v>
      </c>
      <c r="B142" s="1">
        <f>'Raw Data'!M136</f>
        <v>44635</v>
      </c>
      <c r="C142">
        <f t="shared" ca="1" si="6"/>
        <v>4</v>
      </c>
      <c r="D142">
        <f t="shared" ca="1" si="7"/>
        <v>55</v>
      </c>
      <c r="E142" s="1">
        <f t="shared" si="8"/>
        <v>44651</v>
      </c>
    </row>
    <row r="143" spans="1:24">
      <c r="A143" t="str">
        <f>'Raw Data'!D137</f>
        <v>Raymond Ross</v>
      </c>
      <c r="B143" s="1">
        <f>'Raw Data'!M137</f>
        <v>44615</v>
      </c>
      <c r="C143">
        <f t="shared" ca="1" si="6"/>
        <v>4</v>
      </c>
      <c r="D143">
        <f t="shared" ca="1" si="7"/>
        <v>56</v>
      </c>
      <c r="E143" s="1">
        <f t="shared" si="8"/>
        <v>44620</v>
      </c>
    </row>
    <row r="144" spans="1:24">
      <c r="A144" t="str">
        <f>'Raw Data'!D138</f>
        <v>Paul Baker</v>
      </c>
      <c r="B144" s="1">
        <f>'Raw Data'!M138</f>
        <v>44881</v>
      </c>
      <c r="C144">
        <f t="shared" ca="1" si="6"/>
        <v>3</v>
      </c>
      <c r="D144">
        <f t="shared" ca="1" si="7"/>
        <v>47</v>
      </c>
      <c r="E144" s="1">
        <f t="shared" si="8"/>
        <v>44895</v>
      </c>
    </row>
    <row r="145" spans="1:5">
      <c r="A145" t="str">
        <f>'Raw Data'!D139</f>
        <v>Karen Hill</v>
      </c>
      <c r="B145" s="1">
        <f>'Raw Data'!M139</f>
        <v>44502</v>
      </c>
      <c r="C145">
        <f t="shared" ca="1" si="6"/>
        <v>4</v>
      </c>
      <c r="D145">
        <f t="shared" ca="1" si="7"/>
        <v>59</v>
      </c>
      <c r="E145" s="1">
        <f t="shared" si="8"/>
        <v>44530</v>
      </c>
    </row>
    <row r="146" spans="1:5">
      <c r="A146" t="str">
        <f>'Raw Data'!D140</f>
        <v>Patricia Moore</v>
      </c>
      <c r="B146" s="1">
        <f>'Raw Data'!M140</f>
        <v>44420</v>
      </c>
      <c r="C146">
        <f t="shared" ca="1" si="6"/>
        <v>5</v>
      </c>
      <c r="D146">
        <f t="shared" ca="1" si="7"/>
        <v>62</v>
      </c>
      <c r="E146" s="1">
        <f t="shared" si="8"/>
        <v>44439</v>
      </c>
    </row>
    <row r="147" spans="1:5">
      <c r="A147" t="str">
        <f>'Raw Data'!D141</f>
        <v>Maria Garcia</v>
      </c>
      <c r="B147" s="1">
        <f>'Raw Data'!M141</f>
        <v>44848</v>
      </c>
      <c r="C147">
        <f t="shared" ca="1" si="6"/>
        <v>4</v>
      </c>
      <c r="D147">
        <f t="shared" ca="1" si="7"/>
        <v>48</v>
      </c>
      <c r="E147" s="1">
        <f t="shared" si="8"/>
        <v>44865</v>
      </c>
    </row>
    <row r="148" spans="1:5">
      <c r="A148" t="str">
        <f>'Raw Data'!D142</f>
        <v>Margaret Wright</v>
      </c>
      <c r="B148" s="1">
        <f>'Raw Data'!M142</f>
        <v>44828</v>
      </c>
      <c r="C148">
        <f t="shared" ca="1" si="6"/>
        <v>4</v>
      </c>
      <c r="D148">
        <f t="shared" ca="1" si="7"/>
        <v>49</v>
      </c>
      <c r="E148" s="1">
        <f t="shared" si="8"/>
        <v>44834</v>
      </c>
    </row>
    <row r="149" spans="1:5">
      <c r="A149" t="str">
        <f>'Raw Data'!D143</f>
        <v>Peter Richardson</v>
      </c>
      <c r="B149" s="1">
        <f>'Raw Data'!M143</f>
        <v>44769</v>
      </c>
      <c r="C149">
        <f t="shared" ca="1" si="6"/>
        <v>4</v>
      </c>
      <c r="D149">
        <f t="shared" ca="1" si="7"/>
        <v>51</v>
      </c>
      <c r="E149" s="1">
        <f t="shared" si="8"/>
        <v>44773</v>
      </c>
    </row>
    <row r="150" spans="1:5">
      <c r="A150" t="str">
        <f>'Raw Data'!D144</f>
        <v>Paul Baker</v>
      </c>
      <c r="B150" s="1">
        <f>'Raw Data'!M144</f>
        <v>44694</v>
      </c>
      <c r="C150">
        <f t="shared" ca="1" si="6"/>
        <v>4</v>
      </c>
      <c r="D150">
        <f t="shared" ca="1" si="7"/>
        <v>53</v>
      </c>
      <c r="E150" s="1">
        <f t="shared" si="8"/>
        <v>44712</v>
      </c>
    </row>
    <row r="151" spans="1:5">
      <c r="A151" t="str">
        <f>'Raw Data'!D145</f>
        <v>Patricia Moore</v>
      </c>
      <c r="B151" s="1">
        <f>'Raw Data'!M145</f>
        <v>44659</v>
      </c>
      <c r="C151">
        <f t="shared" ca="1" si="6"/>
        <v>4</v>
      </c>
      <c r="D151">
        <f t="shared" ca="1" si="7"/>
        <v>54</v>
      </c>
      <c r="E151" s="1">
        <f t="shared" si="8"/>
        <v>44681</v>
      </c>
    </row>
    <row r="152" spans="1:5">
      <c r="A152" t="str">
        <f>'Raw Data'!D146</f>
        <v>Sarah Davis</v>
      </c>
      <c r="B152" s="1">
        <f>'Raw Data'!M146</f>
        <v>44901</v>
      </c>
      <c r="C152">
        <f t="shared" ca="1" si="6"/>
        <v>3</v>
      </c>
      <c r="D152">
        <f t="shared" ca="1" si="7"/>
        <v>46</v>
      </c>
      <c r="E152" s="1">
        <f t="shared" si="8"/>
        <v>44926</v>
      </c>
    </row>
    <row r="153" spans="1:5">
      <c r="A153" t="str">
        <f>'Raw Data'!D147</f>
        <v>George Adams</v>
      </c>
      <c r="B153" s="1">
        <f>'Raw Data'!M147</f>
        <v>45260</v>
      </c>
      <c r="C153">
        <f t="shared" ca="1" si="6"/>
        <v>2</v>
      </c>
      <c r="D153">
        <f t="shared" ca="1" si="7"/>
        <v>34</v>
      </c>
      <c r="E153" s="1">
        <f t="shared" si="8"/>
        <v>45260</v>
      </c>
    </row>
    <row r="154" spans="1:5">
      <c r="A154" t="str">
        <f>'Raw Data'!D148</f>
        <v>Sandra Phillips</v>
      </c>
      <c r="B154" s="1">
        <f>'Raw Data'!M148</f>
        <v>44869</v>
      </c>
      <c r="C154">
        <f t="shared" ca="1" si="6"/>
        <v>3</v>
      </c>
      <c r="D154">
        <f t="shared" ca="1" si="7"/>
        <v>47</v>
      </c>
      <c r="E154" s="1">
        <f t="shared" si="8"/>
        <v>44895</v>
      </c>
    </row>
    <row r="155" spans="1:5">
      <c r="A155" t="str">
        <f>'Raw Data'!D149</f>
        <v>Mark Carter</v>
      </c>
      <c r="B155" s="1">
        <f>'Raw Data'!M149</f>
        <v>44770</v>
      </c>
      <c r="C155">
        <f t="shared" ca="1" si="6"/>
        <v>4</v>
      </c>
      <c r="D155">
        <f t="shared" ca="1" si="7"/>
        <v>51</v>
      </c>
      <c r="E155" s="1">
        <f t="shared" si="8"/>
        <v>44773</v>
      </c>
    </row>
    <row r="156" spans="1:5">
      <c r="A156" t="str">
        <f>'Raw Data'!D150</f>
        <v>Edward Mitchell</v>
      </c>
      <c r="B156" s="1">
        <f>'Raw Data'!M150</f>
        <v>44427</v>
      </c>
      <c r="C156">
        <f t="shared" ca="1" si="6"/>
        <v>5</v>
      </c>
      <c r="D156">
        <f t="shared" ca="1" si="7"/>
        <v>62</v>
      </c>
      <c r="E156" s="1">
        <f t="shared" si="8"/>
        <v>44439</v>
      </c>
    </row>
    <row r="157" spans="1:5">
      <c r="A157" t="str">
        <f>'Raw Data'!D151</f>
        <v>Frank Torres</v>
      </c>
      <c r="B157" s="1">
        <f>'Raw Data'!M151</f>
        <v>44560</v>
      </c>
      <c r="C157">
        <f t="shared" ca="1" si="6"/>
        <v>4</v>
      </c>
      <c r="D157">
        <f t="shared" ca="1" si="7"/>
        <v>57</v>
      </c>
      <c r="E157" s="1">
        <f t="shared" si="8"/>
        <v>44561</v>
      </c>
    </row>
    <row r="158" spans="1:5">
      <c r="A158" t="str">
        <f>'Raw Data'!D152</f>
        <v>Sarah Davis</v>
      </c>
      <c r="B158" s="1">
        <f>'Raw Data'!M152</f>
        <v>44583</v>
      </c>
      <c r="C158">
        <f t="shared" ca="1" si="6"/>
        <v>4</v>
      </c>
      <c r="D158">
        <f t="shared" ca="1" si="7"/>
        <v>57</v>
      </c>
      <c r="E158" s="1">
        <f t="shared" si="8"/>
        <v>44592</v>
      </c>
    </row>
    <row r="159" spans="1:5">
      <c r="A159" t="str">
        <f>'Raw Data'!D153</f>
        <v>Douglas Watson</v>
      </c>
      <c r="B159" s="1">
        <f>'Raw Data'!M153</f>
        <v>44873</v>
      </c>
      <c r="C159">
        <f t="shared" ca="1" si="6"/>
        <v>3</v>
      </c>
      <c r="D159">
        <f t="shared" ca="1" si="7"/>
        <v>47</v>
      </c>
      <c r="E159" s="1">
        <f t="shared" si="8"/>
        <v>44895</v>
      </c>
    </row>
    <row r="160" spans="1:5">
      <c r="A160" t="str">
        <f>'Raw Data'!D154</f>
        <v>Linda Martin</v>
      </c>
      <c r="B160" s="1">
        <f>'Raw Data'!M154</f>
        <v>45101</v>
      </c>
      <c r="C160">
        <f t="shared" ca="1" si="6"/>
        <v>3</v>
      </c>
      <c r="D160">
        <f t="shared" ca="1" si="7"/>
        <v>40</v>
      </c>
      <c r="E160" s="1">
        <f t="shared" si="8"/>
        <v>45107</v>
      </c>
    </row>
    <row r="161" spans="1:5">
      <c r="A161" t="str">
        <f>'Raw Data'!D155</f>
        <v>Kevin Scott</v>
      </c>
      <c r="B161" s="1">
        <f>'Raw Data'!M155</f>
        <v>44659</v>
      </c>
      <c r="C161">
        <f t="shared" ca="1" si="6"/>
        <v>4</v>
      </c>
      <c r="D161">
        <f t="shared" ca="1" si="7"/>
        <v>54</v>
      </c>
      <c r="E161" s="1">
        <f t="shared" si="8"/>
        <v>44681</v>
      </c>
    </row>
    <row r="162" spans="1:5">
      <c r="A162" t="str">
        <f>'Raw Data'!D156</f>
        <v>Charles Allen</v>
      </c>
      <c r="B162" s="1">
        <f>'Raw Data'!M156</f>
        <v>44485</v>
      </c>
      <c r="C162">
        <f t="shared" ca="1" si="6"/>
        <v>5</v>
      </c>
      <c r="D162">
        <f t="shared" ca="1" si="7"/>
        <v>60</v>
      </c>
      <c r="E162" s="1">
        <f t="shared" si="8"/>
        <v>44500</v>
      </c>
    </row>
    <row r="163" spans="1:5">
      <c r="A163" t="str">
        <f>'Raw Data'!D157</f>
        <v>Joseph Jackson</v>
      </c>
      <c r="B163" s="1">
        <f>'Raw Data'!M157</f>
        <v>44475</v>
      </c>
      <c r="C163">
        <f t="shared" ca="1" si="6"/>
        <v>5</v>
      </c>
      <c r="D163">
        <f t="shared" ca="1" si="7"/>
        <v>60</v>
      </c>
      <c r="E163" s="1">
        <f t="shared" si="8"/>
        <v>44500</v>
      </c>
    </row>
    <row r="164" spans="1:5">
      <c r="A164" t="str">
        <f>'Raw Data'!D158</f>
        <v>Mark Carter</v>
      </c>
      <c r="B164" s="1">
        <f>'Raw Data'!M158</f>
        <v>44944</v>
      </c>
      <c r="C164">
        <f t="shared" ca="1" si="6"/>
        <v>3</v>
      </c>
      <c r="D164">
        <f t="shared" ca="1" si="7"/>
        <v>45</v>
      </c>
      <c r="E164" s="1">
        <f t="shared" si="8"/>
        <v>44957</v>
      </c>
    </row>
    <row r="165" spans="1:5">
      <c r="A165" t="str">
        <f>'Raw Data'!D159</f>
        <v>William White</v>
      </c>
      <c r="B165" s="1">
        <f>'Raw Data'!M159</f>
        <v>45098</v>
      </c>
      <c r="C165">
        <f t="shared" ca="1" si="6"/>
        <v>3</v>
      </c>
      <c r="D165">
        <f t="shared" ca="1" si="7"/>
        <v>40</v>
      </c>
      <c r="E165" s="1">
        <f t="shared" si="8"/>
        <v>45107</v>
      </c>
    </row>
    <row r="166" spans="1:5">
      <c r="A166" t="str">
        <f>'Raw Data'!D160</f>
        <v>Dorothy Nelson</v>
      </c>
      <c r="B166" s="1">
        <f>'Raw Data'!M160</f>
        <v>44703</v>
      </c>
      <c r="C166">
        <f t="shared" ca="1" si="6"/>
        <v>4</v>
      </c>
      <c r="D166">
        <f t="shared" ca="1" si="7"/>
        <v>53</v>
      </c>
      <c r="E166" s="1">
        <f t="shared" si="8"/>
        <v>44712</v>
      </c>
    </row>
    <row r="167" spans="1:5">
      <c r="A167" t="str">
        <f>'Raw Data'!D161</f>
        <v>Nancy Collins</v>
      </c>
      <c r="B167" s="1">
        <f>'Raw Data'!M161</f>
        <v>44396</v>
      </c>
      <c r="C167">
        <f t="shared" ca="1" si="6"/>
        <v>5</v>
      </c>
      <c r="D167">
        <f t="shared" ca="1" si="7"/>
        <v>63</v>
      </c>
      <c r="E167" s="1">
        <f t="shared" si="8"/>
        <v>44408</v>
      </c>
    </row>
    <row r="168" spans="1:5">
      <c r="A168" t="str">
        <f>'Raw Data'!D162</f>
        <v>James Johnson</v>
      </c>
      <c r="B168" s="1">
        <f>'Raw Data'!M162</f>
        <v>45052</v>
      </c>
      <c r="C168">
        <f t="shared" ca="1" si="6"/>
        <v>3</v>
      </c>
      <c r="D168">
        <f t="shared" ca="1" si="7"/>
        <v>41</v>
      </c>
      <c r="E168" s="1">
        <f t="shared" si="8"/>
        <v>45077</v>
      </c>
    </row>
    <row r="169" spans="1:5">
      <c r="A169" t="str">
        <f>'Raw Data'!D163</f>
        <v>Jennifer Taylor</v>
      </c>
      <c r="B169" s="1">
        <f>'Raw Data'!M163</f>
        <v>44921</v>
      </c>
      <c r="C169">
        <f t="shared" ca="1" si="6"/>
        <v>3</v>
      </c>
      <c r="D169">
        <f t="shared" ca="1" si="7"/>
        <v>46</v>
      </c>
      <c r="E169" s="1">
        <f t="shared" si="8"/>
        <v>44926</v>
      </c>
    </row>
    <row r="170" spans="1:5">
      <c r="A170" t="str">
        <f>'Raw Data'!D164</f>
        <v>Helen Roberts</v>
      </c>
      <c r="B170" s="1">
        <f>'Raw Data'!M164</f>
        <v>44779</v>
      </c>
      <c r="C170">
        <f t="shared" ca="1" si="6"/>
        <v>4</v>
      </c>
      <c r="D170">
        <f t="shared" ca="1" si="7"/>
        <v>50</v>
      </c>
      <c r="E170" s="1">
        <f t="shared" si="8"/>
        <v>44804</v>
      </c>
    </row>
    <row r="171" spans="1:5">
      <c r="A171" t="str">
        <f>'Raw Data'!D165</f>
        <v>Peter Richardson</v>
      </c>
      <c r="B171" s="1">
        <f>'Raw Data'!M165</f>
        <v>44406</v>
      </c>
      <c r="C171">
        <f t="shared" ca="1" si="6"/>
        <v>5</v>
      </c>
      <c r="D171">
        <f t="shared" ca="1" si="7"/>
        <v>63</v>
      </c>
      <c r="E171" s="1">
        <f t="shared" si="8"/>
        <v>44408</v>
      </c>
    </row>
    <row r="172" spans="1:5">
      <c r="A172" t="str">
        <f>'Raw Data'!D166</f>
        <v>David Martinez</v>
      </c>
      <c r="B172" s="1">
        <f>'Raw Data'!M166</f>
        <v>45200</v>
      </c>
      <c r="C172">
        <f t="shared" ca="1" si="6"/>
        <v>3</v>
      </c>
      <c r="D172">
        <f t="shared" ca="1" si="7"/>
        <v>36</v>
      </c>
      <c r="E172" s="1">
        <f t="shared" si="8"/>
        <v>45230</v>
      </c>
    </row>
    <row r="173" spans="1:5">
      <c r="A173" t="str">
        <f>'Raw Data'!D167</f>
        <v>Steven Turner</v>
      </c>
      <c r="B173" s="1">
        <f>'Raw Data'!M167</f>
        <v>44724</v>
      </c>
      <c r="C173">
        <f t="shared" ca="1" si="6"/>
        <v>4</v>
      </c>
      <c r="D173">
        <f t="shared" ca="1" si="7"/>
        <v>52</v>
      </c>
      <c r="E173" s="1">
        <f t="shared" si="8"/>
        <v>44742</v>
      </c>
    </row>
    <row r="174" spans="1:5">
      <c r="A174" t="str">
        <f>'Raw Data'!D168</f>
        <v>Emma Wilson</v>
      </c>
      <c r="B174" s="1">
        <f>'Raw Data'!M168</f>
        <v>45191</v>
      </c>
      <c r="C174">
        <f t="shared" ca="1" si="6"/>
        <v>3</v>
      </c>
      <c r="D174">
        <f t="shared" ca="1" si="7"/>
        <v>37</v>
      </c>
      <c r="E174" s="1">
        <f t="shared" si="8"/>
        <v>45199</v>
      </c>
    </row>
    <row r="175" spans="1:5">
      <c r="A175" t="str">
        <f>'Raw Data'!D169</f>
        <v>David Martinez</v>
      </c>
      <c r="B175" s="1">
        <f>'Raw Data'!M169</f>
        <v>44760</v>
      </c>
      <c r="C175">
        <f t="shared" ca="1" si="6"/>
        <v>4</v>
      </c>
      <c r="D175">
        <f t="shared" ca="1" si="7"/>
        <v>51</v>
      </c>
      <c r="E175" s="1">
        <f t="shared" si="8"/>
        <v>44773</v>
      </c>
    </row>
    <row r="176" spans="1:5">
      <c r="A176" t="str">
        <f>'Raw Data'!D170</f>
        <v>Daniel King</v>
      </c>
      <c r="B176" s="1">
        <f>'Raw Data'!M170</f>
        <v>44625</v>
      </c>
      <c r="C176">
        <f t="shared" ca="1" si="6"/>
        <v>4</v>
      </c>
      <c r="D176">
        <f t="shared" ca="1" si="7"/>
        <v>55</v>
      </c>
      <c r="E176" s="1">
        <f t="shared" si="8"/>
        <v>44651</v>
      </c>
    </row>
    <row r="177" spans="1:5">
      <c r="A177" t="str">
        <f>'Raw Data'!D171</f>
        <v>Michael Brown</v>
      </c>
      <c r="B177" s="1">
        <f>'Raw Data'!M171</f>
        <v>45239</v>
      </c>
      <c r="C177">
        <f t="shared" ca="1" si="6"/>
        <v>2</v>
      </c>
      <c r="D177">
        <f t="shared" ca="1" si="7"/>
        <v>35</v>
      </c>
      <c r="E177" s="1">
        <f t="shared" si="8"/>
        <v>45260</v>
      </c>
    </row>
    <row r="178" spans="1:5">
      <c r="A178" t="str">
        <f>'Raw Data'!D172</f>
        <v>Linda Martin</v>
      </c>
      <c r="B178" s="1">
        <f>'Raw Data'!M172</f>
        <v>45280</v>
      </c>
      <c r="C178">
        <f t="shared" ca="1" si="6"/>
        <v>2</v>
      </c>
      <c r="D178">
        <f t="shared" ca="1" si="7"/>
        <v>34</v>
      </c>
      <c r="E178" s="1">
        <f t="shared" si="8"/>
        <v>45291</v>
      </c>
    </row>
    <row r="179" spans="1:5">
      <c r="A179" t="str">
        <f>'Raw Data'!D173</f>
        <v>David Martinez</v>
      </c>
      <c r="B179" s="1">
        <f>'Raw Data'!M173</f>
        <v>44522</v>
      </c>
      <c r="C179">
        <f t="shared" ca="1" si="6"/>
        <v>4</v>
      </c>
      <c r="D179">
        <f t="shared" ca="1" si="7"/>
        <v>59</v>
      </c>
      <c r="E179" s="1">
        <f t="shared" si="8"/>
        <v>44530</v>
      </c>
    </row>
    <row r="180" spans="1:5">
      <c r="A180" t="str">
        <f>'Raw Data'!D174</f>
        <v>Kevin Scott</v>
      </c>
      <c r="B180" s="1">
        <f>'Raw Data'!M174</f>
        <v>44721</v>
      </c>
      <c r="C180">
        <f t="shared" ca="1" si="6"/>
        <v>4</v>
      </c>
      <c r="D180">
        <f t="shared" ca="1" si="7"/>
        <v>52</v>
      </c>
      <c r="E180" s="1">
        <f t="shared" si="8"/>
        <v>44742</v>
      </c>
    </row>
    <row r="181" spans="1:5">
      <c r="A181" t="str">
        <f>'Raw Data'!D175</f>
        <v>Michael Brown</v>
      </c>
      <c r="B181" s="1">
        <f>'Raw Data'!M175</f>
        <v>44771</v>
      </c>
      <c r="C181">
        <f t="shared" ca="1" si="6"/>
        <v>4</v>
      </c>
      <c r="D181">
        <f t="shared" ca="1" si="7"/>
        <v>51</v>
      </c>
      <c r="E181" s="1">
        <f t="shared" si="8"/>
        <v>44773</v>
      </c>
    </row>
    <row r="182" spans="1:5">
      <c r="A182" t="str">
        <f>'Raw Data'!D176</f>
        <v>Helen Roberts</v>
      </c>
      <c r="B182" s="1">
        <f>'Raw Data'!M176</f>
        <v>44523</v>
      </c>
      <c r="C182">
        <f t="shared" ca="1" si="6"/>
        <v>4</v>
      </c>
      <c r="D182">
        <f t="shared" ca="1" si="7"/>
        <v>59</v>
      </c>
      <c r="E182" s="1">
        <f t="shared" si="8"/>
        <v>44530</v>
      </c>
    </row>
    <row r="183" spans="1:5">
      <c r="A183" t="str">
        <f>'Raw Data'!D177</f>
        <v>Robert Thomas</v>
      </c>
      <c r="B183" s="1">
        <f>'Raw Data'!M177</f>
        <v>44591</v>
      </c>
      <c r="C183">
        <f t="shared" ca="1" si="6"/>
        <v>4</v>
      </c>
      <c r="D183">
        <f t="shared" ca="1" si="7"/>
        <v>56</v>
      </c>
      <c r="E183" s="1">
        <f t="shared" si="8"/>
        <v>44592</v>
      </c>
    </row>
    <row r="184" spans="1:5">
      <c r="A184" t="str">
        <f>'Raw Data'!D178</f>
        <v>Nancy Collins</v>
      </c>
      <c r="B184" s="1">
        <f>'Raw Data'!M178</f>
        <v>45347</v>
      </c>
      <c r="C184">
        <f t="shared" ca="1" si="6"/>
        <v>2</v>
      </c>
      <c r="D184">
        <f t="shared" ca="1" si="7"/>
        <v>32</v>
      </c>
      <c r="E184" s="1">
        <f t="shared" si="8"/>
        <v>45351</v>
      </c>
    </row>
    <row r="185" spans="1:5">
      <c r="A185" t="str">
        <f>'Raw Data'!D179</f>
        <v>Mark Carter</v>
      </c>
      <c r="B185" s="1">
        <f>'Raw Data'!M179</f>
        <v>45050</v>
      </c>
      <c r="C185">
        <f t="shared" ca="1" si="6"/>
        <v>3</v>
      </c>
      <c r="D185">
        <f t="shared" ca="1" si="7"/>
        <v>41</v>
      </c>
      <c r="E185" s="1">
        <f t="shared" si="8"/>
        <v>45077</v>
      </c>
    </row>
    <row r="186" spans="1:5">
      <c r="A186" t="str">
        <f>'Raw Data'!D180</f>
        <v>Daniel King</v>
      </c>
      <c r="B186" s="1">
        <f>'Raw Data'!M180</f>
        <v>44564</v>
      </c>
      <c r="C186">
        <f t="shared" ca="1" si="6"/>
        <v>4</v>
      </c>
      <c r="D186">
        <f t="shared" ca="1" si="7"/>
        <v>57</v>
      </c>
      <c r="E186" s="1">
        <f t="shared" si="8"/>
        <v>44592</v>
      </c>
    </row>
    <row r="187" spans="1:5">
      <c r="A187" t="str">
        <f>'Raw Data'!D181</f>
        <v>Arthur Edwards</v>
      </c>
      <c r="B187" s="1">
        <f>'Raw Data'!M181</f>
        <v>44752</v>
      </c>
      <c r="C187">
        <f t="shared" ca="1" si="6"/>
        <v>4</v>
      </c>
      <c r="D187">
        <f t="shared" ca="1" si="7"/>
        <v>51</v>
      </c>
      <c r="E187" s="1">
        <f t="shared" si="8"/>
        <v>44773</v>
      </c>
    </row>
    <row r="188" spans="1:5">
      <c r="A188" t="str">
        <f>'Raw Data'!D182</f>
        <v>Lisa Anderson</v>
      </c>
      <c r="B188" s="1">
        <f>'Raw Data'!M182</f>
        <v>44824</v>
      </c>
      <c r="C188">
        <f t="shared" ca="1" si="6"/>
        <v>4</v>
      </c>
      <c r="D188">
        <f t="shared" ca="1" si="7"/>
        <v>49</v>
      </c>
      <c r="E188" s="1">
        <f t="shared" si="8"/>
        <v>44834</v>
      </c>
    </row>
    <row r="189" spans="1:5">
      <c r="A189" t="str">
        <f>'Raw Data'!D183</f>
        <v>Michael Brown</v>
      </c>
      <c r="B189" s="1">
        <f>'Raw Data'!M183</f>
        <v>44422</v>
      </c>
      <c r="C189">
        <f t="shared" ca="1" si="6"/>
        <v>5</v>
      </c>
      <c r="D189">
        <f t="shared" ca="1" si="7"/>
        <v>62</v>
      </c>
      <c r="E189" s="1">
        <f t="shared" si="8"/>
        <v>44439</v>
      </c>
    </row>
    <row r="190" spans="1:5">
      <c r="A190" t="str">
        <f>'Raw Data'!D184</f>
        <v>Karen Hill</v>
      </c>
      <c r="B190" s="1">
        <f>'Raw Data'!M184</f>
        <v>45105</v>
      </c>
      <c r="C190">
        <f t="shared" ca="1" si="6"/>
        <v>3</v>
      </c>
      <c r="D190">
        <f t="shared" ca="1" si="7"/>
        <v>40</v>
      </c>
      <c r="E190" s="1">
        <f t="shared" si="8"/>
        <v>45107</v>
      </c>
    </row>
    <row r="191" spans="1:5">
      <c r="A191" t="str">
        <f>'Raw Data'!D185</f>
        <v>Nancy Collins</v>
      </c>
      <c r="B191" s="1">
        <f>'Raw Data'!M185</f>
        <v>44633</v>
      </c>
      <c r="C191">
        <f t="shared" ca="1" si="6"/>
        <v>4</v>
      </c>
      <c r="D191">
        <f t="shared" ca="1" si="7"/>
        <v>55</v>
      </c>
      <c r="E191" s="1">
        <f t="shared" si="8"/>
        <v>44651</v>
      </c>
    </row>
    <row r="192" spans="1:5">
      <c r="A192" t="str">
        <f>'Raw Data'!D186</f>
        <v>Virginia Sanders</v>
      </c>
      <c r="B192" s="1">
        <f>'Raw Data'!M186</f>
        <v>45330</v>
      </c>
      <c r="C192">
        <f t="shared" ca="1" si="6"/>
        <v>2</v>
      </c>
      <c r="D192">
        <f t="shared" ca="1" si="7"/>
        <v>32</v>
      </c>
      <c r="E192" s="1">
        <f t="shared" si="8"/>
        <v>45351</v>
      </c>
    </row>
    <row r="193" spans="1:5">
      <c r="A193" t="str">
        <f>'Raw Data'!D187</f>
        <v>Steven Turner</v>
      </c>
      <c r="B193" s="1">
        <f>'Raw Data'!M187</f>
        <v>44536</v>
      </c>
      <c r="C193">
        <f t="shared" ca="1" si="6"/>
        <v>4</v>
      </c>
      <c r="D193">
        <f t="shared" ca="1" si="7"/>
        <v>58</v>
      </c>
      <c r="E193" s="1">
        <f t="shared" si="8"/>
        <v>44561</v>
      </c>
    </row>
    <row r="194" spans="1:5">
      <c r="A194" t="str">
        <f>'Raw Data'!D188</f>
        <v>Michelle Rogers</v>
      </c>
      <c r="B194" s="1">
        <f>'Raw Data'!M188</f>
        <v>44602</v>
      </c>
      <c r="C194">
        <f t="shared" ca="1" si="6"/>
        <v>4</v>
      </c>
      <c r="D194">
        <f t="shared" ca="1" si="7"/>
        <v>56</v>
      </c>
      <c r="E194" s="1">
        <f t="shared" si="8"/>
        <v>44620</v>
      </c>
    </row>
    <row r="195" spans="1:5">
      <c r="A195" t="str">
        <f>'Raw Data'!D189</f>
        <v>Douglas Watson</v>
      </c>
      <c r="B195" s="1">
        <f>'Raw Data'!M189</f>
        <v>45322</v>
      </c>
      <c r="C195">
        <f t="shared" ca="1" si="6"/>
        <v>2</v>
      </c>
      <c r="D195">
        <f t="shared" ca="1" si="7"/>
        <v>32</v>
      </c>
      <c r="E195" s="1">
        <f t="shared" si="8"/>
        <v>45322</v>
      </c>
    </row>
    <row r="196" spans="1:5">
      <c r="A196" t="str">
        <f>'Raw Data'!D190</f>
        <v>Mark Carter</v>
      </c>
      <c r="B196" s="1">
        <f>'Raw Data'!M190</f>
        <v>44436</v>
      </c>
      <c r="C196">
        <f t="shared" ca="1" si="6"/>
        <v>5</v>
      </c>
      <c r="D196">
        <f t="shared" ca="1" si="7"/>
        <v>62</v>
      </c>
      <c r="E196" s="1">
        <f t="shared" si="8"/>
        <v>44439</v>
      </c>
    </row>
    <row r="197" spans="1:5">
      <c r="A197" t="str">
        <f>'Raw Data'!D191</f>
        <v>Betty Campbell</v>
      </c>
      <c r="B197" s="1">
        <f>'Raw Data'!M191</f>
        <v>44460</v>
      </c>
      <c r="C197">
        <f t="shared" ca="1" si="6"/>
        <v>5</v>
      </c>
      <c r="D197">
        <f t="shared" ca="1" si="7"/>
        <v>61</v>
      </c>
      <c r="E197" s="1">
        <f t="shared" si="8"/>
        <v>44469</v>
      </c>
    </row>
    <row r="198" spans="1:5">
      <c r="A198" t="str">
        <f>'Raw Data'!D192</f>
        <v>Helen Roberts</v>
      </c>
      <c r="B198" s="1">
        <f>'Raw Data'!M192</f>
        <v>44913</v>
      </c>
      <c r="C198">
        <f t="shared" ca="1" si="6"/>
        <v>3</v>
      </c>
      <c r="D198">
        <f t="shared" ca="1" si="7"/>
        <v>46</v>
      </c>
      <c r="E198" s="1">
        <f t="shared" si="8"/>
        <v>44926</v>
      </c>
    </row>
    <row r="199" spans="1:5">
      <c r="A199" t="str">
        <f>'Raw Data'!D193</f>
        <v>Sandra Phillips</v>
      </c>
      <c r="B199" s="1">
        <f>'Raw Data'!M193</f>
        <v>45204</v>
      </c>
      <c r="C199">
        <f t="shared" ca="1" si="6"/>
        <v>3</v>
      </c>
      <c r="D199">
        <f t="shared" ca="1" si="7"/>
        <v>36</v>
      </c>
      <c r="E199" s="1">
        <f t="shared" si="8"/>
        <v>45230</v>
      </c>
    </row>
    <row r="200" spans="1:5">
      <c r="A200" t="str">
        <f>'Raw Data'!D194</f>
        <v>Lawrence Reed</v>
      </c>
      <c r="B200" s="1">
        <f>'Raw Data'!M194</f>
        <v>44544</v>
      </c>
      <c r="C200">
        <f t="shared" ca="1" si="6"/>
        <v>4</v>
      </c>
      <c r="D200">
        <f t="shared" ca="1" si="7"/>
        <v>58</v>
      </c>
      <c r="E200" s="1">
        <f t="shared" si="8"/>
        <v>44561</v>
      </c>
    </row>
    <row r="201" spans="1:5">
      <c r="A201" t="str">
        <f>'Raw Data'!D195</f>
        <v>Elizabeth Hall</v>
      </c>
      <c r="B201" s="1">
        <f>'Raw Data'!M195</f>
        <v>44431</v>
      </c>
      <c r="C201">
        <f t="shared" ref="C201:C257" ca="1" si="9">DATEDIF(B201,TODAY(),"Y")</f>
        <v>5</v>
      </c>
      <c r="D201">
        <f t="shared" ref="D201:D257" ca="1" si="10">DATEDIF(B201,$B$3,"M")</f>
        <v>62</v>
      </c>
      <c r="E201" s="1">
        <f t="shared" ref="E201:E257" si="11">EOMONTH(B201,0)</f>
        <v>44439</v>
      </c>
    </row>
    <row r="202" spans="1:5">
      <c r="A202" t="str">
        <f>'Raw Data'!D196</f>
        <v>Robert Thomas</v>
      </c>
      <c r="B202" s="1">
        <f>'Raw Data'!M196</f>
        <v>44395</v>
      </c>
      <c r="C202">
        <f t="shared" ca="1" si="9"/>
        <v>5</v>
      </c>
      <c r="D202">
        <f t="shared" ca="1" si="10"/>
        <v>63</v>
      </c>
      <c r="E202" s="1">
        <f t="shared" si="11"/>
        <v>44408</v>
      </c>
    </row>
    <row r="203" spans="1:5">
      <c r="A203" t="str">
        <f>'Raw Data'!D197</f>
        <v>Lisa Anderson</v>
      </c>
      <c r="B203" s="1">
        <f>'Raw Data'!M197</f>
        <v>44642</v>
      </c>
      <c r="C203">
        <f t="shared" ca="1" si="9"/>
        <v>4</v>
      </c>
      <c r="D203">
        <f t="shared" ca="1" si="10"/>
        <v>55</v>
      </c>
      <c r="E203" s="1">
        <f t="shared" si="11"/>
        <v>44651</v>
      </c>
    </row>
    <row r="204" spans="1:5">
      <c r="A204" t="str">
        <f>'Raw Data'!D198</f>
        <v>Susan Green</v>
      </c>
      <c r="B204" s="1">
        <f>'Raw Data'!M198</f>
        <v>44564</v>
      </c>
      <c r="C204">
        <f t="shared" ca="1" si="9"/>
        <v>4</v>
      </c>
      <c r="D204">
        <f t="shared" ca="1" si="10"/>
        <v>57</v>
      </c>
      <c r="E204" s="1">
        <f t="shared" si="11"/>
        <v>44592</v>
      </c>
    </row>
    <row r="205" spans="1:5">
      <c r="A205" t="str">
        <f>'Raw Data'!D199</f>
        <v>Dorothy Nelson</v>
      </c>
      <c r="B205" s="1">
        <f>'Raw Data'!M199</f>
        <v>45217</v>
      </c>
      <c r="C205">
        <f t="shared" ca="1" si="9"/>
        <v>3</v>
      </c>
      <c r="D205">
        <f t="shared" ca="1" si="10"/>
        <v>36</v>
      </c>
      <c r="E205" s="1">
        <f t="shared" si="11"/>
        <v>45230</v>
      </c>
    </row>
    <row r="206" spans="1:5">
      <c r="A206" t="str">
        <f>'Raw Data'!D200</f>
        <v>William White</v>
      </c>
      <c r="B206" s="1">
        <f>'Raw Data'!M200</f>
        <v>44734</v>
      </c>
      <c r="C206">
        <f t="shared" ca="1" si="9"/>
        <v>4</v>
      </c>
      <c r="D206">
        <f t="shared" ca="1" si="10"/>
        <v>52</v>
      </c>
      <c r="E206" s="1">
        <f t="shared" si="11"/>
        <v>44742</v>
      </c>
    </row>
    <row r="207" spans="1:5">
      <c r="A207" t="str">
        <f>'Raw Data'!D201</f>
        <v>Mark Carter</v>
      </c>
      <c r="B207" s="1">
        <f>'Raw Data'!M201</f>
        <v>44952</v>
      </c>
      <c r="C207">
        <f t="shared" ca="1" si="9"/>
        <v>3</v>
      </c>
      <c r="D207">
        <f t="shared" ca="1" si="10"/>
        <v>45</v>
      </c>
      <c r="E207" s="1">
        <f t="shared" si="11"/>
        <v>44957</v>
      </c>
    </row>
    <row r="208" spans="1:5">
      <c r="A208" t="str">
        <f>'Raw Data'!D202</f>
        <v>Douglas Watson</v>
      </c>
      <c r="B208" s="1">
        <f>'Raw Data'!M202</f>
        <v>44681</v>
      </c>
      <c r="C208">
        <f t="shared" ca="1" si="9"/>
        <v>4</v>
      </c>
      <c r="D208">
        <f t="shared" ca="1" si="10"/>
        <v>53</v>
      </c>
      <c r="E208" s="1">
        <f t="shared" si="11"/>
        <v>44681</v>
      </c>
    </row>
    <row r="209" spans="1:5">
      <c r="A209" t="str">
        <f>'Raw Data'!D203</f>
        <v>Karen Hill</v>
      </c>
      <c r="B209" s="1">
        <f>'Raw Data'!M203</f>
        <v>44692</v>
      </c>
      <c r="C209">
        <f t="shared" ca="1" si="9"/>
        <v>4</v>
      </c>
      <c r="D209">
        <f t="shared" ca="1" si="10"/>
        <v>53</v>
      </c>
      <c r="E209" s="1">
        <f t="shared" si="11"/>
        <v>44712</v>
      </c>
    </row>
    <row r="210" spans="1:5">
      <c r="A210" t="str">
        <f>'Raw Data'!D204</f>
        <v>Edward Mitchell</v>
      </c>
      <c r="B210" s="1">
        <f>'Raw Data'!M204</f>
        <v>44777</v>
      </c>
      <c r="C210">
        <f t="shared" ca="1" si="9"/>
        <v>4</v>
      </c>
      <c r="D210">
        <f t="shared" ca="1" si="10"/>
        <v>50</v>
      </c>
      <c r="E210" s="1">
        <f t="shared" si="11"/>
        <v>44804</v>
      </c>
    </row>
    <row r="211" spans="1:5">
      <c r="A211" t="str">
        <f>'Raw Data'!D205</f>
        <v>Michael Brown</v>
      </c>
      <c r="B211" s="1">
        <f>'Raw Data'!M205</f>
        <v>45307</v>
      </c>
      <c r="C211">
        <f t="shared" ca="1" si="9"/>
        <v>2</v>
      </c>
      <c r="D211">
        <f t="shared" ca="1" si="10"/>
        <v>33</v>
      </c>
      <c r="E211" s="1">
        <f t="shared" si="11"/>
        <v>45322</v>
      </c>
    </row>
    <row r="212" spans="1:5">
      <c r="A212" t="str">
        <f>'Raw Data'!D206</f>
        <v>Arthur Edwards</v>
      </c>
      <c r="B212" s="1">
        <f>'Raw Data'!M206</f>
        <v>45045</v>
      </c>
      <c r="C212">
        <f t="shared" ca="1" si="9"/>
        <v>3</v>
      </c>
      <c r="D212">
        <f t="shared" ca="1" si="10"/>
        <v>42</v>
      </c>
      <c r="E212" s="1">
        <f t="shared" si="11"/>
        <v>45046</v>
      </c>
    </row>
    <row r="213" spans="1:5">
      <c r="A213" t="str">
        <f>'Raw Data'!D207</f>
        <v>Ruth Brooks</v>
      </c>
      <c r="B213" s="1">
        <f>'Raw Data'!M207</f>
        <v>44564</v>
      </c>
      <c r="C213">
        <f t="shared" ca="1" si="9"/>
        <v>4</v>
      </c>
      <c r="D213">
        <f t="shared" ca="1" si="10"/>
        <v>57</v>
      </c>
      <c r="E213" s="1">
        <f t="shared" si="11"/>
        <v>44592</v>
      </c>
    </row>
    <row r="214" spans="1:5">
      <c r="A214" t="str">
        <f>'Raw Data'!D208</f>
        <v>Virginia Sanders</v>
      </c>
      <c r="B214" s="1">
        <f>'Raw Data'!M208</f>
        <v>44959</v>
      </c>
      <c r="C214">
        <f t="shared" ca="1" si="9"/>
        <v>3</v>
      </c>
      <c r="D214">
        <f t="shared" ca="1" si="10"/>
        <v>44</v>
      </c>
      <c r="E214" s="1">
        <f t="shared" si="11"/>
        <v>44985</v>
      </c>
    </row>
    <row r="215" spans="1:5">
      <c r="A215" t="str">
        <f>'Raw Data'!D209</f>
        <v>Sharon Butler</v>
      </c>
      <c r="B215" s="1">
        <f>'Raw Data'!M209</f>
        <v>45177</v>
      </c>
      <c r="C215">
        <f t="shared" ca="1" si="9"/>
        <v>3</v>
      </c>
      <c r="D215">
        <f t="shared" ca="1" si="10"/>
        <v>37</v>
      </c>
      <c r="E215" s="1">
        <f t="shared" si="11"/>
        <v>45199</v>
      </c>
    </row>
    <row r="216" spans="1:5">
      <c r="A216" t="str">
        <f>'Raw Data'!D210</f>
        <v>Nancy Collins</v>
      </c>
      <c r="B216" s="1">
        <f>'Raw Data'!M210</f>
        <v>44436</v>
      </c>
      <c r="C216">
        <f t="shared" ca="1" si="9"/>
        <v>5</v>
      </c>
      <c r="D216">
        <f t="shared" ca="1" si="10"/>
        <v>62</v>
      </c>
      <c r="E216" s="1">
        <f t="shared" si="11"/>
        <v>44439</v>
      </c>
    </row>
    <row r="217" spans="1:5">
      <c r="A217" t="str">
        <f>'Raw Data'!D211</f>
        <v>Kevin Scott</v>
      </c>
      <c r="B217" s="1">
        <f>'Raw Data'!M211</f>
        <v>44735</v>
      </c>
      <c r="C217">
        <f t="shared" ca="1" si="9"/>
        <v>4</v>
      </c>
      <c r="D217">
        <f t="shared" ca="1" si="10"/>
        <v>52</v>
      </c>
      <c r="E217" s="1">
        <f t="shared" si="11"/>
        <v>44742</v>
      </c>
    </row>
    <row r="218" spans="1:5">
      <c r="A218" t="str">
        <f>'Raw Data'!D212</f>
        <v>Paul Baker</v>
      </c>
      <c r="B218" s="1">
        <f>'Raw Data'!M212</f>
        <v>45257</v>
      </c>
      <c r="C218">
        <f t="shared" ca="1" si="9"/>
        <v>2</v>
      </c>
      <c r="D218">
        <f t="shared" ca="1" si="10"/>
        <v>35</v>
      </c>
      <c r="E218" s="1">
        <f t="shared" si="11"/>
        <v>45260</v>
      </c>
    </row>
    <row r="219" spans="1:5">
      <c r="A219" t="str">
        <f>'Raw Data'!D213</f>
        <v>Richard Lee</v>
      </c>
      <c r="B219" s="1">
        <f>'Raw Data'!M213</f>
        <v>44728</v>
      </c>
      <c r="C219">
        <f t="shared" ca="1" si="9"/>
        <v>4</v>
      </c>
      <c r="D219">
        <f t="shared" ca="1" si="10"/>
        <v>52</v>
      </c>
      <c r="E219" s="1">
        <f t="shared" si="11"/>
        <v>44742</v>
      </c>
    </row>
    <row r="220" spans="1:5">
      <c r="A220" t="str">
        <f>'Raw Data'!D214</f>
        <v>Edward Mitchell</v>
      </c>
      <c r="B220" s="1">
        <f>'Raw Data'!M214</f>
        <v>45352</v>
      </c>
      <c r="C220">
        <f t="shared" ca="1" si="9"/>
        <v>2</v>
      </c>
      <c r="D220">
        <f t="shared" ca="1" si="10"/>
        <v>31</v>
      </c>
      <c r="E220" s="1">
        <f t="shared" si="11"/>
        <v>45382</v>
      </c>
    </row>
    <row r="221" spans="1:5">
      <c r="A221" t="str">
        <f>'Raw Data'!D215</f>
        <v>Michael Brown</v>
      </c>
      <c r="B221" s="1">
        <f>'Raw Data'!M215</f>
        <v>44633</v>
      </c>
      <c r="C221">
        <f t="shared" ca="1" si="9"/>
        <v>4</v>
      </c>
      <c r="D221">
        <f t="shared" ca="1" si="10"/>
        <v>55</v>
      </c>
      <c r="E221" s="1">
        <f t="shared" si="11"/>
        <v>44651</v>
      </c>
    </row>
    <row r="222" spans="1:5">
      <c r="A222" t="str">
        <f>'Raw Data'!D216</f>
        <v>Barbara Young</v>
      </c>
      <c r="B222" s="1">
        <f>'Raw Data'!M216</f>
        <v>44613</v>
      </c>
      <c r="C222">
        <f t="shared" ca="1" si="9"/>
        <v>4</v>
      </c>
      <c r="D222">
        <f t="shared" ca="1" si="10"/>
        <v>56</v>
      </c>
      <c r="E222" s="1">
        <f t="shared" si="11"/>
        <v>44620</v>
      </c>
    </row>
    <row r="223" spans="1:5">
      <c r="A223" t="str">
        <f>'Raw Data'!D217</f>
        <v>Frank Torres</v>
      </c>
      <c r="B223" s="1">
        <f>'Raw Data'!M217</f>
        <v>44823</v>
      </c>
      <c r="C223">
        <f t="shared" ca="1" si="9"/>
        <v>4</v>
      </c>
      <c r="D223">
        <f t="shared" ca="1" si="10"/>
        <v>49</v>
      </c>
      <c r="E223" s="1">
        <f t="shared" si="11"/>
        <v>44834</v>
      </c>
    </row>
    <row r="224" spans="1:5">
      <c r="A224" t="str">
        <f>'Raw Data'!D218</f>
        <v>Charles Allen</v>
      </c>
      <c r="B224" s="1">
        <f>'Raw Data'!M218</f>
        <v>45142</v>
      </c>
      <c r="C224">
        <f t="shared" ca="1" si="9"/>
        <v>3</v>
      </c>
      <c r="D224">
        <f t="shared" ca="1" si="10"/>
        <v>38</v>
      </c>
      <c r="E224" s="1">
        <f t="shared" si="11"/>
        <v>45169</v>
      </c>
    </row>
    <row r="225" spans="1:5">
      <c r="A225" t="str">
        <f>'Raw Data'!D219</f>
        <v>Sharon Butler</v>
      </c>
      <c r="B225" s="1">
        <f>'Raw Data'!M219</f>
        <v>44934</v>
      </c>
      <c r="C225">
        <f t="shared" ca="1" si="9"/>
        <v>3</v>
      </c>
      <c r="D225">
        <f t="shared" ca="1" si="10"/>
        <v>45</v>
      </c>
      <c r="E225" s="1">
        <f t="shared" si="11"/>
        <v>44957</v>
      </c>
    </row>
    <row r="226" spans="1:5">
      <c r="A226" t="str">
        <f>'Raw Data'!D220</f>
        <v>Ruth Brooks</v>
      </c>
      <c r="B226" s="1">
        <f>'Raw Data'!M220</f>
        <v>44583</v>
      </c>
      <c r="C226">
        <f t="shared" ca="1" si="9"/>
        <v>4</v>
      </c>
      <c r="D226">
        <f t="shared" ca="1" si="10"/>
        <v>57</v>
      </c>
      <c r="E226" s="1">
        <f t="shared" si="11"/>
        <v>44592</v>
      </c>
    </row>
    <row r="227" spans="1:5">
      <c r="A227" t="str">
        <f>'Raw Data'!D221</f>
        <v>Arthur Edwards</v>
      </c>
      <c r="B227" s="1">
        <f>'Raw Data'!M221</f>
        <v>44412</v>
      </c>
      <c r="C227">
        <f t="shared" ca="1" si="9"/>
        <v>5</v>
      </c>
      <c r="D227">
        <f t="shared" ca="1" si="10"/>
        <v>62</v>
      </c>
      <c r="E227" s="1">
        <f t="shared" si="11"/>
        <v>44439</v>
      </c>
    </row>
    <row r="228" spans="1:5">
      <c r="A228" t="str">
        <f>'Raw Data'!D222</f>
        <v>Elizabeth Hall</v>
      </c>
      <c r="B228" s="1">
        <f>'Raw Data'!M222</f>
        <v>45140</v>
      </c>
      <c r="C228">
        <f t="shared" ca="1" si="9"/>
        <v>3</v>
      </c>
      <c r="D228">
        <f t="shared" ca="1" si="10"/>
        <v>38</v>
      </c>
      <c r="E228" s="1">
        <f t="shared" si="11"/>
        <v>45169</v>
      </c>
    </row>
    <row r="229" spans="1:5">
      <c r="A229" t="str">
        <f>'Raw Data'!D223</f>
        <v>Steven Turner</v>
      </c>
      <c r="B229" s="1">
        <f>'Raw Data'!M223</f>
        <v>44573</v>
      </c>
      <c r="C229">
        <f t="shared" ca="1" si="9"/>
        <v>4</v>
      </c>
      <c r="D229">
        <f t="shared" ca="1" si="10"/>
        <v>57</v>
      </c>
      <c r="E229" s="1">
        <f t="shared" si="11"/>
        <v>44592</v>
      </c>
    </row>
    <row r="230" spans="1:5">
      <c r="A230" t="str">
        <f>'Raw Data'!D224</f>
        <v>Richard Lee</v>
      </c>
      <c r="B230" s="1">
        <f>'Raw Data'!M224</f>
        <v>45070</v>
      </c>
      <c r="C230">
        <f t="shared" ca="1" si="9"/>
        <v>3</v>
      </c>
      <c r="D230">
        <f t="shared" ca="1" si="10"/>
        <v>41</v>
      </c>
      <c r="E230" s="1">
        <f t="shared" si="11"/>
        <v>45077</v>
      </c>
    </row>
    <row r="231" spans="1:5">
      <c r="A231" t="str">
        <f>'Raw Data'!D225</f>
        <v>Virginia Sanders</v>
      </c>
      <c r="B231" s="1">
        <f>'Raw Data'!M225</f>
        <v>44576</v>
      </c>
      <c r="C231">
        <f t="shared" ca="1" si="9"/>
        <v>4</v>
      </c>
      <c r="D231">
        <f t="shared" ca="1" si="10"/>
        <v>57</v>
      </c>
      <c r="E231" s="1">
        <f t="shared" si="11"/>
        <v>44592</v>
      </c>
    </row>
    <row r="232" spans="1:5">
      <c r="A232" t="str">
        <f>'Raw Data'!D226</f>
        <v>Charles Allen</v>
      </c>
      <c r="B232" s="1">
        <f>'Raw Data'!M226</f>
        <v>45068</v>
      </c>
      <c r="C232">
        <f t="shared" ca="1" si="9"/>
        <v>3</v>
      </c>
      <c r="D232">
        <f t="shared" ca="1" si="10"/>
        <v>41</v>
      </c>
      <c r="E232" s="1">
        <f t="shared" si="11"/>
        <v>45077</v>
      </c>
    </row>
    <row r="233" spans="1:5">
      <c r="A233" t="str">
        <f>'Raw Data'!D227</f>
        <v>Lawrence Reed</v>
      </c>
      <c r="B233" s="1">
        <f>'Raw Data'!M227</f>
        <v>45161</v>
      </c>
      <c r="C233">
        <f t="shared" ca="1" si="9"/>
        <v>3</v>
      </c>
      <c r="D233">
        <f t="shared" ca="1" si="10"/>
        <v>38</v>
      </c>
      <c r="E233" s="1">
        <f t="shared" si="11"/>
        <v>45169</v>
      </c>
    </row>
    <row r="234" spans="1:5">
      <c r="A234" t="str">
        <f>'Raw Data'!D228</f>
        <v>Dennis Gray</v>
      </c>
      <c r="B234" s="1">
        <f>'Raw Data'!M228</f>
        <v>45291</v>
      </c>
      <c r="C234">
        <f t="shared" ca="1" si="9"/>
        <v>2</v>
      </c>
      <c r="D234">
        <f t="shared" ca="1" si="10"/>
        <v>33</v>
      </c>
      <c r="E234" s="1">
        <f t="shared" si="11"/>
        <v>45291</v>
      </c>
    </row>
    <row r="235" spans="1:5">
      <c r="A235" t="str">
        <f>'Raw Data'!D229</f>
        <v>Paul Baker</v>
      </c>
      <c r="B235" s="1">
        <f>'Raw Data'!M229</f>
        <v>45295</v>
      </c>
      <c r="C235">
        <f t="shared" ca="1" si="9"/>
        <v>2</v>
      </c>
      <c r="D235">
        <f t="shared" ca="1" si="10"/>
        <v>33</v>
      </c>
      <c r="E235" s="1">
        <f t="shared" si="11"/>
        <v>45322</v>
      </c>
    </row>
    <row r="236" spans="1:5">
      <c r="A236" t="str">
        <f>'Raw Data'!D230</f>
        <v>Helen Roberts</v>
      </c>
      <c r="B236" s="1">
        <f>'Raw Data'!M230</f>
        <v>44540</v>
      </c>
      <c r="C236">
        <f t="shared" ca="1" si="9"/>
        <v>4</v>
      </c>
      <c r="D236">
        <f t="shared" ca="1" si="10"/>
        <v>58</v>
      </c>
      <c r="E236" s="1">
        <f t="shared" si="11"/>
        <v>44561</v>
      </c>
    </row>
    <row r="237" spans="1:5">
      <c r="A237" t="str">
        <f>'Raw Data'!D231</f>
        <v>Lawrence Reed</v>
      </c>
      <c r="B237" s="1">
        <f>'Raw Data'!M231</f>
        <v>44632</v>
      </c>
      <c r="C237">
        <f t="shared" ca="1" si="9"/>
        <v>4</v>
      </c>
      <c r="D237">
        <f t="shared" ca="1" si="10"/>
        <v>55</v>
      </c>
      <c r="E237" s="1">
        <f t="shared" si="11"/>
        <v>44651</v>
      </c>
    </row>
    <row r="238" spans="1:5">
      <c r="A238" t="str">
        <f>'Raw Data'!D232</f>
        <v>Harry Morgan</v>
      </c>
      <c r="B238" s="1">
        <f>'Raw Data'!M232</f>
        <v>45389</v>
      </c>
      <c r="C238">
        <f t="shared" ca="1" si="9"/>
        <v>2</v>
      </c>
      <c r="D238">
        <f t="shared" ca="1" si="10"/>
        <v>30</v>
      </c>
      <c r="E238" s="1">
        <f t="shared" si="11"/>
        <v>45412</v>
      </c>
    </row>
    <row r="239" spans="1:5">
      <c r="A239" t="str">
        <f>'Raw Data'!D233</f>
        <v>Charles Allen</v>
      </c>
      <c r="B239" s="1">
        <f>'Raw Data'!M233</f>
        <v>45263</v>
      </c>
      <c r="C239">
        <f t="shared" ca="1" si="9"/>
        <v>2</v>
      </c>
      <c r="D239">
        <f t="shared" ca="1" si="10"/>
        <v>34</v>
      </c>
      <c r="E239" s="1">
        <f t="shared" si="11"/>
        <v>45291</v>
      </c>
    </row>
    <row r="240" spans="1:5">
      <c r="A240" t="str">
        <f>'Raw Data'!D234</f>
        <v>Harry Morgan</v>
      </c>
      <c r="B240" s="1">
        <f>'Raw Data'!M234</f>
        <v>45117</v>
      </c>
      <c r="C240">
        <f t="shared" ca="1" si="9"/>
        <v>3</v>
      </c>
      <c r="D240">
        <f t="shared" ca="1" si="10"/>
        <v>39</v>
      </c>
      <c r="E240" s="1">
        <f t="shared" si="11"/>
        <v>45138</v>
      </c>
    </row>
    <row r="241" spans="1:5">
      <c r="A241" t="str">
        <f>'Raw Data'!D235</f>
        <v>Frank Torres</v>
      </c>
      <c r="B241" s="1">
        <f>'Raw Data'!M235</f>
        <v>45193</v>
      </c>
      <c r="C241">
        <f t="shared" ca="1" si="9"/>
        <v>3</v>
      </c>
      <c r="D241">
        <f t="shared" ca="1" si="10"/>
        <v>37</v>
      </c>
      <c r="E241" s="1">
        <f t="shared" si="11"/>
        <v>45199</v>
      </c>
    </row>
    <row r="242" spans="1:5">
      <c r="A242" t="str">
        <f>'Raw Data'!D236</f>
        <v>Emma Wilson</v>
      </c>
      <c r="B242" s="1">
        <f>'Raw Data'!M236</f>
        <v>45233</v>
      </c>
      <c r="C242">
        <f t="shared" ca="1" si="9"/>
        <v>2</v>
      </c>
      <c r="D242">
        <f t="shared" ca="1" si="10"/>
        <v>35</v>
      </c>
      <c r="E242" s="1">
        <f t="shared" si="11"/>
        <v>45260</v>
      </c>
    </row>
    <row r="243" spans="1:5">
      <c r="A243" t="str">
        <f>'Raw Data'!D237</f>
        <v>Sharon Butler</v>
      </c>
      <c r="B243" s="1">
        <f>'Raw Data'!M237</f>
        <v>44876</v>
      </c>
      <c r="C243">
        <f t="shared" ca="1" si="9"/>
        <v>3</v>
      </c>
      <c r="D243">
        <f t="shared" ca="1" si="10"/>
        <v>47</v>
      </c>
      <c r="E243" s="1">
        <f t="shared" si="11"/>
        <v>44895</v>
      </c>
    </row>
    <row r="244" spans="1:5">
      <c r="A244" t="str">
        <f>'Raw Data'!D238</f>
        <v>Dorothy Nelson</v>
      </c>
      <c r="B244" s="1">
        <f>'Raw Data'!M238</f>
        <v>44975</v>
      </c>
      <c r="C244">
        <f t="shared" ca="1" si="9"/>
        <v>3</v>
      </c>
      <c r="D244">
        <f t="shared" ca="1" si="10"/>
        <v>44</v>
      </c>
      <c r="E244" s="1">
        <f t="shared" si="11"/>
        <v>44985</v>
      </c>
    </row>
    <row r="245" spans="1:5">
      <c r="A245" t="str">
        <f>'Raw Data'!D239</f>
        <v>Paul Baker</v>
      </c>
      <c r="B245" s="1">
        <f>'Raw Data'!M239</f>
        <v>45234</v>
      </c>
      <c r="C245">
        <f t="shared" ca="1" si="9"/>
        <v>2</v>
      </c>
      <c r="D245">
        <f t="shared" ca="1" si="10"/>
        <v>35</v>
      </c>
      <c r="E245" s="1">
        <f t="shared" si="11"/>
        <v>45260</v>
      </c>
    </row>
    <row r="246" spans="1:5">
      <c r="A246" t="str">
        <f>'Raw Data'!D240</f>
        <v>John Smith</v>
      </c>
      <c r="B246" s="1">
        <f>'Raw Data'!M240</f>
        <v>44560</v>
      </c>
      <c r="C246">
        <f t="shared" ca="1" si="9"/>
        <v>4</v>
      </c>
      <c r="D246">
        <f t="shared" ca="1" si="10"/>
        <v>57</v>
      </c>
      <c r="E246" s="1">
        <f t="shared" si="11"/>
        <v>44561</v>
      </c>
    </row>
    <row r="247" spans="1:5">
      <c r="A247" t="str">
        <f>'Raw Data'!D241</f>
        <v>Cynthia Price</v>
      </c>
      <c r="B247" s="1">
        <f>'Raw Data'!M241</f>
        <v>45288</v>
      </c>
      <c r="C247">
        <f t="shared" ca="1" si="9"/>
        <v>2</v>
      </c>
      <c r="D247">
        <f t="shared" ca="1" si="10"/>
        <v>34</v>
      </c>
      <c r="E247" s="1">
        <f t="shared" si="11"/>
        <v>45291</v>
      </c>
    </row>
    <row r="248" spans="1:5">
      <c r="A248" t="str">
        <f>'Raw Data'!D242</f>
        <v>Margaret Wright</v>
      </c>
      <c r="B248" s="1">
        <f>'Raw Data'!M242</f>
        <v>44704</v>
      </c>
      <c r="C248">
        <f t="shared" ca="1" si="9"/>
        <v>4</v>
      </c>
      <c r="D248">
        <f t="shared" ca="1" si="10"/>
        <v>53</v>
      </c>
      <c r="E248" s="1">
        <f t="shared" si="11"/>
        <v>44712</v>
      </c>
    </row>
    <row r="249" spans="1:5">
      <c r="A249" t="str">
        <f>'Raw Data'!D243</f>
        <v>Virginia Sanders</v>
      </c>
      <c r="B249" s="1">
        <f>'Raw Data'!M243</f>
        <v>45171</v>
      </c>
      <c r="C249">
        <f t="shared" ca="1" si="9"/>
        <v>3</v>
      </c>
      <c r="D249">
        <f t="shared" ca="1" si="10"/>
        <v>37</v>
      </c>
      <c r="E249" s="1">
        <f t="shared" si="11"/>
        <v>45199</v>
      </c>
    </row>
    <row r="250" spans="1:5">
      <c r="A250" t="str">
        <f>'Raw Data'!D244</f>
        <v>Karen Hill</v>
      </c>
      <c r="B250" s="1">
        <f>'Raw Data'!M244</f>
        <v>44522</v>
      </c>
      <c r="C250">
        <f t="shared" ca="1" si="9"/>
        <v>4</v>
      </c>
      <c r="D250">
        <f t="shared" ca="1" si="10"/>
        <v>59</v>
      </c>
      <c r="E250" s="1">
        <f t="shared" si="11"/>
        <v>44530</v>
      </c>
    </row>
    <row r="251" spans="1:5">
      <c r="A251" t="str">
        <f>'Raw Data'!D245</f>
        <v>Cynthia Price</v>
      </c>
      <c r="B251" s="1">
        <f>'Raw Data'!M245</f>
        <v>44618</v>
      </c>
      <c r="C251">
        <f t="shared" ca="1" si="9"/>
        <v>4</v>
      </c>
      <c r="D251">
        <f t="shared" ca="1" si="10"/>
        <v>56</v>
      </c>
      <c r="E251" s="1">
        <f t="shared" si="11"/>
        <v>44620</v>
      </c>
    </row>
    <row r="252" spans="1:5">
      <c r="A252" t="str">
        <f>'Raw Data'!D246</f>
        <v>Edward Mitchell</v>
      </c>
      <c r="B252" s="1">
        <f>'Raw Data'!M246</f>
        <v>44953</v>
      </c>
      <c r="C252">
        <f t="shared" ca="1" si="9"/>
        <v>3</v>
      </c>
      <c r="D252">
        <f t="shared" ca="1" si="10"/>
        <v>45</v>
      </c>
      <c r="E252" s="1">
        <f t="shared" si="11"/>
        <v>44957</v>
      </c>
    </row>
    <row r="253" spans="1:5">
      <c r="A253" t="str">
        <f>'Raw Data'!D247</f>
        <v>Virginia Sanders</v>
      </c>
      <c r="B253" s="1">
        <f>'Raw Data'!M247</f>
        <v>44511</v>
      </c>
      <c r="C253">
        <f t="shared" ca="1" si="9"/>
        <v>4</v>
      </c>
      <c r="D253">
        <f t="shared" ca="1" si="10"/>
        <v>59</v>
      </c>
      <c r="E253" s="1">
        <f t="shared" si="11"/>
        <v>44530</v>
      </c>
    </row>
    <row r="254" spans="1:5">
      <c r="A254" t="str">
        <f>'Raw Data'!D248</f>
        <v>Robert Thomas</v>
      </c>
      <c r="B254" s="1">
        <f>'Raw Data'!M248</f>
        <v>45346</v>
      </c>
      <c r="C254">
        <f t="shared" ca="1" si="9"/>
        <v>2</v>
      </c>
      <c r="D254">
        <f t="shared" ca="1" si="10"/>
        <v>32</v>
      </c>
      <c r="E254" s="1">
        <f t="shared" si="11"/>
        <v>45351</v>
      </c>
    </row>
    <row r="255" spans="1:5">
      <c r="A255" t="str">
        <f>'Raw Data'!D249</f>
        <v>Douglas Watson</v>
      </c>
      <c r="B255" s="1">
        <f>'Raw Data'!M249</f>
        <v>44909</v>
      </c>
      <c r="C255">
        <f t="shared" ca="1" si="9"/>
        <v>3</v>
      </c>
      <c r="D255">
        <f t="shared" ca="1" si="10"/>
        <v>46</v>
      </c>
      <c r="E255" s="1">
        <f t="shared" si="11"/>
        <v>44926</v>
      </c>
    </row>
    <row r="256" spans="1:5">
      <c r="A256" t="str">
        <f>'Raw Data'!D250</f>
        <v>Lawrence Reed</v>
      </c>
      <c r="B256" s="1">
        <f>'Raw Data'!M250</f>
        <v>45088</v>
      </c>
      <c r="C256">
        <f t="shared" ca="1" si="9"/>
        <v>3</v>
      </c>
      <c r="D256">
        <f t="shared" ca="1" si="10"/>
        <v>40</v>
      </c>
      <c r="E256" s="1">
        <f t="shared" si="11"/>
        <v>45107</v>
      </c>
    </row>
    <row r="257" spans="1:5">
      <c r="A257" t="str">
        <f>'Raw Data'!D251</f>
        <v>Steven Turner</v>
      </c>
      <c r="B257" s="1">
        <f>'Raw Data'!M251</f>
        <v>44878</v>
      </c>
      <c r="C257">
        <f t="shared" ca="1" si="9"/>
        <v>3</v>
      </c>
      <c r="D257">
        <f t="shared" ca="1" si="10"/>
        <v>47</v>
      </c>
      <c r="E257" s="1">
        <f t="shared" si="11"/>
        <v>44895</v>
      </c>
    </row>
    <row r="261" spans="1:5">
      <c r="A261" s="29" t="s">
        <v>413</v>
      </c>
      <c r="B261" s="29" t="s">
        <v>418</v>
      </c>
      <c r="C261" s="29" t="s">
        <v>419</v>
      </c>
      <c r="D261" s="25" t="s">
        <v>428</v>
      </c>
    </row>
    <row r="262" spans="1:5">
      <c r="A262" s="23" t="s">
        <v>414</v>
      </c>
      <c r="B262" s="4">
        <v>100</v>
      </c>
      <c r="C262">
        <v>150</v>
      </c>
      <c r="D262">
        <v>70</v>
      </c>
    </row>
    <row r="263" spans="1:5">
      <c r="A263" s="41" t="s">
        <v>415</v>
      </c>
      <c r="B263" s="4">
        <v>100</v>
      </c>
      <c r="C263">
        <v>120</v>
      </c>
      <c r="D263">
        <v>90</v>
      </c>
    </row>
    <row r="264" spans="1:5">
      <c r="A264" s="23" t="s">
        <v>416</v>
      </c>
      <c r="B264" s="4">
        <f>B262*B263</f>
        <v>10000</v>
      </c>
      <c r="C264" s="4">
        <f>C262*C263</f>
        <v>18000</v>
      </c>
      <c r="D264" s="4">
        <f>D262*D263</f>
        <v>6300</v>
      </c>
    </row>
  </sheetData>
  <scenarios current="1" show="1" sqref="A266">
    <scenario name="Best Case" locked="1" count="2" user="ASUS" comment="Created by ASUS on 28-10-2026_x000a_Modified by ASUS on 28-10-2026">
      <inputCells r="C262" val="150"/>
      <inputCells r="C263" val="120"/>
    </scenario>
    <scenario name="Worst Case" locked="1" count="2" user="ASUS" comment="Created by ASUS on 28-10-2026_x000a_Modified by ASUS on 28-10-2026">
      <inputCells r="D262" val="70"/>
      <inputCells r="D263" val="90"/>
    </scenario>
  </scenarios>
  <mergeCells count="5">
    <mergeCell ref="A1:BU2"/>
    <mergeCell ref="I4:X5"/>
    <mergeCell ref="Z4:AO5"/>
    <mergeCell ref="AQ4:BF5"/>
    <mergeCell ref="BH4:BW5"/>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870393-ADD0-48B1-9CF1-37B2AE2516C0}">
  <dimension ref="A1:H51"/>
  <sheetViews>
    <sheetView topLeftCell="B1" workbookViewId="0">
      <selection activeCell="J1" sqref="J1"/>
    </sheetView>
  </sheetViews>
  <sheetFormatPr defaultRowHeight="14"/>
  <cols>
    <col min="1" max="1" width="23.08984375" customWidth="1"/>
    <col min="2" max="2" width="15.54296875" bestFit="1" customWidth="1"/>
    <col min="3" max="3" width="17" customWidth="1"/>
    <col min="4" max="4" width="18.1796875" customWidth="1"/>
    <col min="5" max="5" width="20.90625" customWidth="1"/>
    <col min="6" max="6" width="19.1796875" customWidth="1"/>
    <col min="7" max="7" width="15.6328125" customWidth="1"/>
    <col min="8" max="8" width="20.1796875" customWidth="1"/>
  </cols>
  <sheetData>
    <row r="1" spans="1:8" ht="28">
      <c r="A1" s="48" t="s">
        <v>2</v>
      </c>
      <c r="B1" s="48" t="s">
        <v>3</v>
      </c>
      <c r="C1" s="48" t="s">
        <v>459</v>
      </c>
      <c r="D1" s="48" t="s">
        <v>460</v>
      </c>
      <c r="E1" s="48" t="s">
        <v>461</v>
      </c>
      <c r="F1" s="48" t="s">
        <v>462</v>
      </c>
      <c r="G1" s="48" t="s">
        <v>463</v>
      </c>
      <c r="H1" s="48" t="s">
        <v>464</v>
      </c>
    </row>
    <row r="2" spans="1:8">
      <c r="A2" t="str" cm="1">
        <f t="array" ref="A2:A51">_xlfn._xlws.SORT(_xlfn.UNIQUE(tblTransactions[Customer_ID]))</f>
        <v>CUST001</v>
      </c>
      <c r="B2" t="str">
        <f>_xlfn.XLOOKUP(A2,tblTransactions[Customer_ID],tblTransactions[Customer_Name],"Not Found")</f>
        <v>John Smith</v>
      </c>
      <c r="C2">
        <f>SUMIF(tblTransactions[Customer_ID],A2,tblTransactions[Total_Amount])</f>
        <v>599.96</v>
      </c>
      <c r="D2">
        <f>COUNTIF(tblTransactions[Customer_ID],A2)</f>
        <v>1</v>
      </c>
      <c r="E2">
        <f>SUMIF(tblTransactions[Customer_ID],A2,tblTransactions[Quantity])</f>
        <v>4</v>
      </c>
      <c r="F2">
        <f>IFERROR(C2/D2,0)</f>
        <v>599.96</v>
      </c>
      <c r="G2">
        <f>_xlfn.RANK.EQ(C2,$C$2:$C$51,0)</f>
        <v>47</v>
      </c>
      <c r="H2" t="str">
        <f>IF(G2&lt;=5,"Top 5 Customer",IF(C2&gt;=10000,"High Value","Regular"))</f>
        <v>Regular</v>
      </c>
    </row>
    <row r="3" spans="1:8">
      <c r="A3" t="str">
        <v>CUST002</v>
      </c>
      <c r="B3" t="str">
        <f>_xlfn.XLOOKUP(A3,tblTransactions[Customer_ID],tblTransactions[Customer_Name],"Not Found")</f>
        <v>Emma Wilson</v>
      </c>
      <c r="C3">
        <f>SUMIF(tblTransactions[Customer_ID],A3,tblTransactions[Total_Amount])</f>
        <v>1229.8800000000001</v>
      </c>
      <c r="D3">
        <f>COUNTIF(tblTransactions[Customer_ID],A3)</f>
        <v>5</v>
      </c>
      <c r="E3">
        <f>SUMIF(tblTransactions[Customer_ID],A3,tblTransactions[Quantity])</f>
        <v>12</v>
      </c>
      <c r="F3">
        <f t="shared" ref="F3:F51" si="0">IFERROR(C3/D3,0)</f>
        <v>245.97600000000003</v>
      </c>
      <c r="G3">
        <f t="shared" ref="G3:G51" si="1">_xlfn.RANK.EQ(C3,$C$2:$C$51,0)</f>
        <v>44</v>
      </c>
      <c r="H3" t="str">
        <f t="shared" ref="H3:H51" si="2">IF(G3&lt;=5,"Top 5 Customer",IF(C3&gt;=10000,"High Value","Regular"))</f>
        <v>Regular</v>
      </c>
    </row>
    <row r="4" spans="1:8">
      <c r="A4" t="str">
        <v>CUST003</v>
      </c>
      <c r="B4" t="str">
        <f>_xlfn.XLOOKUP(A4,tblTransactions[Customer_ID],tblTransactions[Customer_Name],"Not Found")</f>
        <v>Michael Brown</v>
      </c>
      <c r="C4">
        <f>SUMIF(tblTransactions[Customer_ID],A4,tblTransactions[Total_Amount])</f>
        <v>6169.7400000000007</v>
      </c>
      <c r="D4">
        <f>COUNTIF(tblTransactions[Customer_ID],A4)</f>
        <v>9</v>
      </c>
      <c r="E4">
        <f>SUMIF(tblTransactions[Customer_ID],A4,tblTransactions[Quantity])</f>
        <v>26</v>
      </c>
      <c r="F4">
        <f t="shared" si="0"/>
        <v>685.52666666666676</v>
      </c>
      <c r="G4">
        <f t="shared" si="1"/>
        <v>14</v>
      </c>
      <c r="H4" t="str">
        <f t="shared" si="2"/>
        <v>Regular</v>
      </c>
    </row>
    <row r="5" spans="1:8">
      <c r="A5" t="str">
        <v>CUST004</v>
      </c>
      <c r="B5" t="str">
        <f>_xlfn.XLOOKUP(A5,tblTransactions[Customer_ID],tblTransactions[Customer_Name],"Not Found")</f>
        <v>Sarah Davis</v>
      </c>
      <c r="C5">
        <f>SUMIF(tblTransactions[Customer_ID],A5,tblTransactions[Total_Amount])</f>
        <v>5499.8099999999995</v>
      </c>
      <c r="D5">
        <f>COUNTIF(tblTransactions[Customer_ID],A5)</f>
        <v>5</v>
      </c>
      <c r="E5">
        <f>SUMIF(tblTransactions[Customer_ID],A5,tblTransactions[Quantity])</f>
        <v>19</v>
      </c>
      <c r="F5">
        <f t="shared" si="0"/>
        <v>1099.962</v>
      </c>
      <c r="G5">
        <f t="shared" si="1"/>
        <v>19</v>
      </c>
      <c r="H5" t="str">
        <f t="shared" si="2"/>
        <v>Regular</v>
      </c>
    </row>
    <row r="6" spans="1:8">
      <c r="A6" t="str">
        <v>CUST005</v>
      </c>
      <c r="B6" t="str">
        <f>_xlfn.XLOOKUP(A6,tblTransactions[Customer_ID],tblTransactions[Customer_Name],"Not Found")</f>
        <v>James Johnson</v>
      </c>
      <c r="C6">
        <f>SUMIF(tblTransactions[Customer_ID],A6,tblTransactions[Total_Amount])</f>
        <v>179.97</v>
      </c>
      <c r="D6">
        <f>COUNTIF(tblTransactions[Customer_ID],A6)</f>
        <v>1</v>
      </c>
      <c r="E6">
        <f>SUMIF(tblTransactions[Customer_ID],A6,tblTransactions[Quantity])</f>
        <v>3</v>
      </c>
      <c r="F6">
        <f t="shared" si="0"/>
        <v>179.97</v>
      </c>
      <c r="G6">
        <f t="shared" si="1"/>
        <v>50</v>
      </c>
      <c r="H6" t="str">
        <f t="shared" si="2"/>
        <v>Regular</v>
      </c>
    </row>
    <row r="7" spans="1:8">
      <c r="A7" t="str">
        <v>CUST006</v>
      </c>
      <c r="B7" t="str">
        <f>_xlfn.XLOOKUP(A7,tblTransactions[Customer_ID],tblTransactions[Customer_Name],"Not Found")</f>
        <v>Lisa Anderson</v>
      </c>
      <c r="C7">
        <f>SUMIF(tblTransactions[Customer_ID],A7,tblTransactions[Total_Amount])</f>
        <v>2039.8000000000002</v>
      </c>
      <c r="D7">
        <f>COUNTIF(tblTransactions[Customer_ID],A7)</f>
        <v>5</v>
      </c>
      <c r="E7">
        <f>SUMIF(tblTransactions[Customer_ID],A7,tblTransactions[Quantity])</f>
        <v>20</v>
      </c>
      <c r="F7">
        <f t="shared" si="0"/>
        <v>407.96000000000004</v>
      </c>
      <c r="G7">
        <f t="shared" si="1"/>
        <v>36</v>
      </c>
      <c r="H7" t="str">
        <f t="shared" si="2"/>
        <v>Regular</v>
      </c>
    </row>
    <row r="8" spans="1:8">
      <c r="A8" t="str">
        <v>CUST007</v>
      </c>
      <c r="B8" t="str">
        <f>_xlfn.XLOOKUP(A8,tblTransactions[Customer_ID],tblTransactions[Customer_Name],"Not Found")</f>
        <v>David Martinez</v>
      </c>
      <c r="C8">
        <f>SUMIF(tblTransactions[Customer_ID],A8,tblTransactions[Total_Amount])</f>
        <v>1809.84</v>
      </c>
      <c r="D8">
        <f>COUNTIF(tblTransactions[Customer_ID],A8)</f>
        <v>6</v>
      </c>
      <c r="E8">
        <f>SUMIF(tblTransactions[Customer_ID],A8,tblTransactions[Quantity])</f>
        <v>16</v>
      </c>
      <c r="F8">
        <f t="shared" si="0"/>
        <v>301.64</v>
      </c>
      <c r="G8">
        <f t="shared" si="1"/>
        <v>39</v>
      </c>
      <c r="H8" t="str">
        <f t="shared" si="2"/>
        <v>Regular</v>
      </c>
    </row>
    <row r="9" spans="1:8">
      <c r="A9" t="str">
        <v>CUST008</v>
      </c>
      <c r="B9" t="str">
        <f>_xlfn.XLOOKUP(A9,tblTransactions[Customer_ID],tblTransactions[Customer_Name],"Not Found")</f>
        <v>Jennifer Taylor</v>
      </c>
      <c r="C9">
        <f>SUMIF(tblTransactions[Customer_ID],A9,tblTransactions[Total_Amount])</f>
        <v>4739.8500000000004</v>
      </c>
      <c r="D9">
        <f>COUNTIF(tblTransactions[Customer_ID],A9)</f>
        <v>4</v>
      </c>
      <c r="E9">
        <f>SUMIF(tblTransactions[Customer_ID],A9,tblTransactions[Quantity])</f>
        <v>15</v>
      </c>
      <c r="F9">
        <f t="shared" si="0"/>
        <v>1184.9625000000001</v>
      </c>
      <c r="G9">
        <f t="shared" si="1"/>
        <v>24</v>
      </c>
      <c r="H9" t="str">
        <f t="shared" si="2"/>
        <v>Regular</v>
      </c>
    </row>
    <row r="10" spans="1:8">
      <c r="A10" t="str">
        <v>CUST009</v>
      </c>
      <c r="B10" t="str">
        <f>_xlfn.XLOOKUP(A10,tblTransactions[Customer_ID],tblTransactions[Customer_Name],"Not Found")</f>
        <v>Robert Thomas</v>
      </c>
      <c r="C10">
        <f>SUMIF(tblTransactions[Customer_ID],A10,tblTransactions[Total_Amount])</f>
        <v>3509.8999999999996</v>
      </c>
      <c r="D10">
        <f>COUNTIF(tblTransactions[Customer_ID],A10)</f>
        <v>5</v>
      </c>
      <c r="E10">
        <f>SUMIF(tblTransactions[Customer_ID],A10,tblTransactions[Quantity])</f>
        <v>10</v>
      </c>
      <c r="F10">
        <f t="shared" si="0"/>
        <v>701.9799999999999</v>
      </c>
      <c r="G10">
        <f t="shared" si="1"/>
        <v>32</v>
      </c>
      <c r="H10" t="str">
        <f t="shared" si="2"/>
        <v>Regular</v>
      </c>
    </row>
    <row r="11" spans="1:8">
      <c r="A11" t="str">
        <v>CUST010</v>
      </c>
      <c r="B11" t="str">
        <f>_xlfn.XLOOKUP(A11,tblTransactions[Customer_ID],tblTransactions[Customer_Name],"Not Found")</f>
        <v>Maria Garcia</v>
      </c>
      <c r="C11">
        <f>SUMIF(tblTransactions[Customer_ID],A11,tblTransactions[Total_Amount])</f>
        <v>1909.93</v>
      </c>
      <c r="D11">
        <f>COUNTIF(tblTransactions[Customer_ID],A11)</f>
        <v>4</v>
      </c>
      <c r="E11">
        <f>SUMIF(tblTransactions[Customer_ID],A11,tblTransactions[Quantity])</f>
        <v>7</v>
      </c>
      <c r="F11">
        <f t="shared" si="0"/>
        <v>477.48250000000002</v>
      </c>
      <c r="G11">
        <f t="shared" si="1"/>
        <v>38</v>
      </c>
      <c r="H11" t="str">
        <f t="shared" si="2"/>
        <v>Regular</v>
      </c>
    </row>
    <row r="12" spans="1:8">
      <c r="A12" t="str">
        <v>CUST011</v>
      </c>
      <c r="B12" t="str">
        <f>_xlfn.XLOOKUP(A12,tblTransactions[Customer_ID],tblTransactions[Customer_Name],"Not Found")</f>
        <v>William White</v>
      </c>
      <c r="C12">
        <f>SUMIF(tblTransactions[Customer_ID],A12,tblTransactions[Total_Amount])</f>
        <v>4749.91</v>
      </c>
      <c r="D12">
        <f>COUNTIF(tblTransactions[Customer_ID],A12)</f>
        <v>3</v>
      </c>
      <c r="E12">
        <f>SUMIF(tblTransactions[Customer_ID],A12,tblTransactions[Quantity])</f>
        <v>9</v>
      </c>
      <c r="F12">
        <f t="shared" si="0"/>
        <v>1583.3033333333333</v>
      </c>
      <c r="G12">
        <f t="shared" si="1"/>
        <v>23</v>
      </c>
      <c r="H12" t="str">
        <f t="shared" si="2"/>
        <v>Regular</v>
      </c>
    </row>
    <row r="13" spans="1:8">
      <c r="A13" t="str">
        <v>CUST012</v>
      </c>
      <c r="B13" t="str">
        <f>_xlfn.XLOOKUP(A13,tblTransactions[Customer_ID],tblTransactions[Customer_Name],"Not Found")</f>
        <v>Patricia Moore</v>
      </c>
      <c r="C13">
        <f>SUMIF(tblTransactions[Customer_ID],A13,tblTransactions[Total_Amount])</f>
        <v>9799.73</v>
      </c>
      <c r="D13">
        <f>COUNTIF(tblTransactions[Customer_ID],A13)</f>
        <v>8</v>
      </c>
      <c r="E13">
        <f>SUMIF(tblTransactions[Customer_ID],A13,tblTransactions[Quantity])</f>
        <v>27</v>
      </c>
      <c r="F13">
        <f t="shared" si="0"/>
        <v>1224.9662499999999</v>
      </c>
      <c r="G13">
        <f t="shared" si="1"/>
        <v>4</v>
      </c>
      <c r="H13" t="str">
        <f t="shared" si="2"/>
        <v>Top 5 Customer</v>
      </c>
    </row>
    <row r="14" spans="1:8">
      <c r="A14" t="str">
        <v>CUST013</v>
      </c>
      <c r="B14" t="str">
        <f>_xlfn.XLOOKUP(A14,tblTransactions[Customer_ID],tblTransactions[Customer_Name],"Not Found")</f>
        <v>Joseph Jackson</v>
      </c>
      <c r="C14">
        <f>SUMIF(tblTransactions[Customer_ID],A14,tblTransactions[Total_Amount])</f>
        <v>6949.84</v>
      </c>
      <c r="D14">
        <f>COUNTIF(tblTransactions[Customer_ID],A14)</f>
        <v>5</v>
      </c>
      <c r="E14">
        <f>SUMIF(tblTransactions[Customer_ID],A14,tblTransactions[Quantity])</f>
        <v>16</v>
      </c>
      <c r="F14">
        <f t="shared" si="0"/>
        <v>1389.9680000000001</v>
      </c>
      <c r="G14">
        <f t="shared" si="1"/>
        <v>10</v>
      </c>
      <c r="H14" t="str">
        <f t="shared" si="2"/>
        <v>Regular</v>
      </c>
    </row>
    <row r="15" spans="1:8">
      <c r="A15" t="str">
        <v>CUST014</v>
      </c>
      <c r="B15" t="str">
        <f>_xlfn.XLOOKUP(A15,tblTransactions[Customer_ID],tblTransactions[Customer_Name],"Not Found")</f>
        <v>Linda Martin</v>
      </c>
      <c r="C15">
        <f>SUMIF(tblTransactions[Customer_ID],A15,tblTransactions[Total_Amount])</f>
        <v>1289.9000000000001</v>
      </c>
      <c r="D15">
        <f>COUNTIF(tblTransactions[Customer_ID],A15)</f>
        <v>4</v>
      </c>
      <c r="E15">
        <f>SUMIF(tblTransactions[Customer_ID],A15,tblTransactions[Quantity])</f>
        <v>10</v>
      </c>
      <c r="F15">
        <f t="shared" si="0"/>
        <v>322.47500000000002</v>
      </c>
      <c r="G15">
        <f t="shared" si="1"/>
        <v>43</v>
      </c>
      <c r="H15" t="str">
        <f t="shared" si="2"/>
        <v>Regular</v>
      </c>
    </row>
    <row r="16" spans="1:8">
      <c r="A16" t="str">
        <v>CUST015</v>
      </c>
      <c r="B16" t="str">
        <f>_xlfn.XLOOKUP(A16,tblTransactions[Customer_ID],tblTransactions[Customer_Name],"Not Found")</f>
        <v>Richard Lee</v>
      </c>
      <c r="C16">
        <f>SUMIF(tblTransactions[Customer_ID],A16,tblTransactions[Total_Amount])</f>
        <v>739.93000000000006</v>
      </c>
      <c r="D16">
        <f>COUNTIF(tblTransactions[Customer_ID],A16)</f>
        <v>3</v>
      </c>
      <c r="E16">
        <f>SUMIF(tblTransactions[Customer_ID],A16,tblTransactions[Quantity])</f>
        <v>7</v>
      </c>
      <c r="F16">
        <f t="shared" si="0"/>
        <v>246.64333333333335</v>
      </c>
      <c r="G16">
        <f t="shared" si="1"/>
        <v>46</v>
      </c>
      <c r="H16" t="str">
        <f t="shared" si="2"/>
        <v>Regular</v>
      </c>
    </row>
    <row r="17" spans="1:8">
      <c r="A17" t="str">
        <v>CUST016</v>
      </c>
      <c r="B17" t="str">
        <f>_xlfn.XLOOKUP(A17,tblTransactions[Customer_ID],tblTransactions[Customer_Name],"Not Found")</f>
        <v>Elizabeth Hall</v>
      </c>
      <c r="C17">
        <f>SUMIF(tblTransactions[Customer_ID],A17,tblTransactions[Total_Amount])</f>
        <v>3649.8599999999997</v>
      </c>
      <c r="D17">
        <f>COUNTIF(tblTransactions[Customer_ID],A17)</f>
        <v>4</v>
      </c>
      <c r="E17">
        <f>SUMIF(tblTransactions[Customer_ID],A17,tblTransactions[Quantity])</f>
        <v>14</v>
      </c>
      <c r="F17">
        <f t="shared" si="0"/>
        <v>912.46499999999992</v>
      </c>
      <c r="G17">
        <f t="shared" si="1"/>
        <v>31</v>
      </c>
      <c r="H17" t="str">
        <f t="shared" si="2"/>
        <v>Regular</v>
      </c>
    </row>
    <row r="18" spans="1:8">
      <c r="A18" t="str">
        <v>CUST017</v>
      </c>
      <c r="B18" t="str">
        <f>_xlfn.XLOOKUP(A18,tblTransactions[Customer_ID],tblTransactions[Customer_Name],"Not Found")</f>
        <v>Charles Allen</v>
      </c>
      <c r="C18">
        <f>SUMIF(tblTransactions[Customer_ID],A18,tblTransactions[Total_Amount])</f>
        <v>5089.7300000000005</v>
      </c>
      <c r="D18">
        <f>COUNTIF(tblTransactions[Customer_ID],A18)</f>
        <v>9</v>
      </c>
      <c r="E18">
        <f>SUMIF(tblTransactions[Customer_ID],A18,tblTransactions[Quantity])</f>
        <v>27</v>
      </c>
      <c r="F18">
        <f t="shared" si="0"/>
        <v>565.52555555555557</v>
      </c>
      <c r="G18">
        <f t="shared" si="1"/>
        <v>20</v>
      </c>
      <c r="H18" t="str">
        <f t="shared" si="2"/>
        <v>Regular</v>
      </c>
    </row>
    <row r="19" spans="1:8">
      <c r="A19" t="str">
        <v>CUST018</v>
      </c>
      <c r="B19" t="str">
        <f>_xlfn.XLOOKUP(A19,tblTransactions[Customer_ID],tblTransactions[Customer_Name],"Not Found")</f>
        <v>Barbara Young</v>
      </c>
      <c r="C19">
        <f>SUMIF(tblTransactions[Customer_ID],A19,tblTransactions[Total_Amount])</f>
        <v>10649.8</v>
      </c>
      <c r="D19">
        <f>COUNTIF(tblTransactions[Customer_ID],A19)</f>
        <v>5</v>
      </c>
      <c r="E19">
        <f>SUMIF(tblTransactions[Customer_ID],A19,tblTransactions[Quantity])</f>
        <v>20</v>
      </c>
      <c r="F19">
        <f t="shared" si="0"/>
        <v>2129.96</v>
      </c>
      <c r="G19">
        <f t="shared" si="1"/>
        <v>3</v>
      </c>
      <c r="H19" t="str">
        <f t="shared" si="2"/>
        <v>Top 5 Customer</v>
      </c>
    </row>
    <row r="20" spans="1:8">
      <c r="A20" t="str">
        <v>CUST019</v>
      </c>
      <c r="B20" t="str">
        <f>_xlfn.XLOOKUP(A20,tblTransactions[Customer_ID],tblTransactions[Customer_Name],"Not Found")</f>
        <v>Daniel King</v>
      </c>
      <c r="C20">
        <f>SUMIF(tblTransactions[Customer_ID],A20,tblTransactions[Total_Amount])</f>
        <v>7309.7999999999993</v>
      </c>
      <c r="D20">
        <f>COUNTIF(tblTransactions[Customer_ID],A20)</f>
        <v>7</v>
      </c>
      <c r="E20">
        <f>SUMIF(tblTransactions[Customer_ID],A20,tblTransactions[Quantity])</f>
        <v>20</v>
      </c>
      <c r="F20">
        <f t="shared" si="0"/>
        <v>1044.2571428571428</v>
      </c>
      <c r="G20">
        <f t="shared" si="1"/>
        <v>8</v>
      </c>
      <c r="H20" t="str">
        <f t="shared" si="2"/>
        <v>Regular</v>
      </c>
    </row>
    <row r="21" spans="1:8">
      <c r="A21" t="str">
        <v>CUST020</v>
      </c>
      <c r="B21" t="str">
        <f>_xlfn.XLOOKUP(A21,tblTransactions[Customer_ID],tblTransactions[Customer_Name],"Not Found")</f>
        <v>Margaret Wright</v>
      </c>
      <c r="C21">
        <f>SUMIF(tblTransactions[Customer_ID],A21,tblTransactions[Total_Amount])</f>
        <v>2099.88</v>
      </c>
      <c r="D21">
        <f>COUNTIF(tblTransactions[Customer_ID],A21)</f>
        <v>4</v>
      </c>
      <c r="E21">
        <f>SUMIF(tblTransactions[Customer_ID],A21,tblTransactions[Quantity])</f>
        <v>12</v>
      </c>
      <c r="F21">
        <f t="shared" si="0"/>
        <v>524.97</v>
      </c>
      <c r="G21">
        <f t="shared" si="1"/>
        <v>35</v>
      </c>
      <c r="H21" t="str">
        <f t="shared" si="2"/>
        <v>Regular</v>
      </c>
    </row>
    <row r="22" spans="1:8">
      <c r="A22" t="str">
        <v>CUST021</v>
      </c>
      <c r="B22" t="str">
        <f>_xlfn.XLOOKUP(A22,tblTransactions[Customer_ID],tblTransactions[Customer_Name],"Not Found")</f>
        <v>Kevin Scott</v>
      </c>
      <c r="C22">
        <f>SUMIF(tblTransactions[Customer_ID],A22,tblTransactions[Total_Amount])</f>
        <v>3259.87</v>
      </c>
      <c r="D22">
        <f>COUNTIF(tblTransactions[Customer_ID],A22)</f>
        <v>6</v>
      </c>
      <c r="E22">
        <f>SUMIF(tblTransactions[Customer_ID],A22,tblTransactions[Quantity])</f>
        <v>13</v>
      </c>
      <c r="F22">
        <f t="shared" si="0"/>
        <v>543.31166666666661</v>
      </c>
      <c r="G22">
        <f t="shared" si="1"/>
        <v>33</v>
      </c>
      <c r="H22" t="str">
        <f t="shared" si="2"/>
        <v>Regular</v>
      </c>
    </row>
    <row r="23" spans="1:8">
      <c r="A23" t="str">
        <v>CUST022</v>
      </c>
      <c r="B23" t="str">
        <f>_xlfn.XLOOKUP(A23,tblTransactions[Customer_ID],tblTransactions[Customer_Name],"Not Found")</f>
        <v>Susan Green</v>
      </c>
      <c r="C23">
        <f>SUMIF(tblTransactions[Customer_ID],A23,tblTransactions[Total_Amount])</f>
        <v>1979.89</v>
      </c>
      <c r="D23">
        <f>COUNTIF(tblTransactions[Customer_ID],A23)</f>
        <v>4</v>
      </c>
      <c r="E23">
        <f>SUMIF(tblTransactions[Customer_ID],A23,tblTransactions[Quantity])</f>
        <v>11</v>
      </c>
      <c r="F23">
        <f t="shared" si="0"/>
        <v>494.97250000000003</v>
      </c>
      <c r="G23">
        <f t="shared" si="1"/>
        <v>37</v>
      </c>
      <c r="H23" t="str">
        <f t="shared" si="2"/>
        <v>Regular</v>
      </c>
    </row>
    <row r="24" spans="1:8">
      <c r="A24" t="str">
        <v>CUST023</v>
      </c>
      <c r="B24" t="str">
        <f>_xlfn.XLOOKUP(A24,tblTransactions[Customer_ID],tblTransactions[Customer_Name],"Not Found")</f>
        <v>Paul Baker</v>
      </c>
      <c r="C24">
        <f>SUMIF(tblTransactions[Customer_ID],A24,tblTransactions[Total_Amount])</f>
        <v>8309.739999999998</v>
      </c>
      <c r="D24">
        <f>COUNTIF(tblTransactions[Customer_ID],A24)</f>
        <v>8</v>
      </c>
      <c r="E24">
        <f>SUMIF(tblTransactions[Customer_ID],A24,tblTransactions[Quantity])</f>
        <v>26</v>
      </c>
      <c r="F24">
        <f t="shared" si="0"/>
        <v>1038.7174999999997</v>
      </c>
      <c r="G24">
        <f t="shared" si="1"/>
        <v>5</v>
      </c>
      <c r="H24" t="str">
        <f t="shared" si="2"/>
        <v>Top 5 Customer</v>
      </c>
    </row>
    <row r="25" spans="1:8">
      <c r="A25" t="str">
        <v>CUST024</v>
      </c>
      <c r="B25" t="str">
        <f>_xlfn.XLOOKUP(A25,tblTransactions[Customer_ID],tblTransactions[Customer_Name],"Not Found")</f>
        <v>Dorothy Nelson</v>
      </c>
      <c r="C25">
        <f>SUMIF(tblTransactions[Customer_ID],A25,tblTransactions[Total_Amount])</f>
        <v>8269.7900000000009</v>
      </c>
      <c r="D25">
        <f>COUNTIF(tblTransactions[Customer_ID],A25)</f>
        <v>6</v>
      </c>
      <c r="E25">
        <f>SUMIF(tblTransactions[Customer_ID],A25,tblTransactions[Quantity])</f>
        <v>21</v>
      </c>
      <c r="F25">
        <f t="shared" si="0"/>
        <v>1378.2983333333334</v>
      </c>
      <c r="G25">
        <f t="shared" si="1"/>
        <v>6</v>
      </c>
      <c r="H25" t="str">
        <f t="shared" si="2"/>
        <v>Regular</v>
      </c>
    </row>
    <row r="26" spans="1:8">
      <c r="A26" t="str">
        <v>CUST025</v>
      </c>
      <c r="B26" t="str">
        <f>_xlfn.XLOOKUP(A26,tblTransactions[Customer_ID],tblTransactions[Customer_Name],"Not Found")</f>
        <v>Mark Carter</v>
      </c>
      <c r="C26">
        <f>SUMIF(tblTransactions[Customer_ID],A26,tblTransactions[Total_Amount])</f>
        <v>15659.65</v>
      </c>
      <c r="D26">
        <f>COUNTIF(tblTransactions[Customer_ID],A26)</f>
        <v>12</v>
      </c>
      <c r="E26">
        <f>SUMIF(tblTransactions[Customer_ID],A26,tblTransactions[Quantity])</f>
        <v>35</v>
      </c>
      <c r="F26">
        <f t="shared" si="0"/>
        <v>1304.9708333333333</v>
      </c>
      <c r="G26">
        <f t="shared" si="1"/>
        <v>1</v>
      </c>
      <c r="H26" t="str">
        <f t="shared" si="2"/>
        <v>Top 5 Customer</v>
      </c>
    </row>
    <row r="27" spans="1:8">
      <c r="A27" t="str">
        <v>CUST026</v>
      </c>
      <c r="B27" t="str">
        <f>_xlfn.XLOOKUP(A27,tblTransactions[Customer_ID],tblTransactions[Customer_Name],"Not Found")</f>
        <v>Karen Hill</v>
      </c>
      <c r="C27">
        <f>SUMIF(tblTransactions[Customer_ID],A27,tblTransactions[Total_Amount])</f>
        <v>8009.7699999999995</v>
      </c>
      <c r="D27">
        <f>COUNTIF(tblTransactions[Customer_ID],A27)</f>
        <v>8</v>
      </c>
      <c r="E27">
        <f>SUMIF(tblTransactions[Customer_ID],A27,tblTransactions[Quantity])</f>
        <v>23</v>
      </c>
      <c r="F27">
        <f t="shared" si="0"/>
        <v>1001.2212499999999</v>
      </c>
      <c r="G27">
        <f t="shared" si="1"/>
        <v>7</v>
      </c>
      <c r="H27" t="str">
        <f t="shared" si="2"/>
        <v>Regular</v>
      </c>
    </row>
    <row r="28" spans="1:8">
      <c r="A28" t="str">
        <v>CUST027</v>
      </c>
      <c r="B28" t="str">
        <f>_xlfn.XLOOKUP(A28,tblTransactions[Customer_ID],tblTransactions[Customer_Name],"Not Found")</f>
        <v>George Adams</v>
      </c>
      <c r="C28">
        <f>SUMIF(tblTransactions[Customer_ID],A28,tblTransactions[Total_Amount])</f>
        <v>3779.93</v>
      </c>
      <c r="D28">
        <f>COUNTIF(tblTransactions[Customer_ID],A28)</f>
        <v>3</v>
      </c>
      <c r="E28">
        <f>SUMIF(tblTransactions[Customer_ID],A28,tblTransactions[Quantity])</f>
        <v>7</v>
      </c>
      <c r="F28">
        <f t="shared" si="0"/>
        <v>1259.9766666666667</v>
      </c>
      <c r="G28">
        <f t="shared" si="1"/>
        <v>28</v>
      </c>
      <c r="H28" t="str">
        <f t="shared" si="2"/>
        <v>Regular</v>
      </c>
    </row>
    <row r="29" spans="1:8">
      <c r="A29" t="str">
        <v>CUST028</v>
      </c>
      <c r="B29" t="str">
        <f>_xlfn.XLOOKUP(A29,tblTransactions[Customer_ID],tblTransactions[Customer_Name],"Not Found")</f>
        <v>Betty Campbell</v>
      </c>
      <c r="C29">
        <f>SUMIF(tblTransactions[Customer_ID],A29,tblTransactions[Total_Amount])</f>
        <v>5649.84</v>
      </c>
      <c r="D29">
        <f>COUNTIF(tblTransactions[Customer_ID],A29)</f>
        <v>5</v>
      </c>
      <c r="E29">
        <f>SUMIF(tblTransactions[Customer_ID],A29,tblTransactions[Quantity])</f>
        <v>16</v>
      </c>
      <c r="F29">
        <f t="shared" si="0"/>
        <v>1129.9680000000001</v>
      </c>
      <c r="G29">
        <f t="shared" si="1"/>
        <v>16</v>
      </c>
      <c r="H29" t="str">
        <f t="shared" si="2"/>
        <v>Regular</v>
      </c>
    </row>
    <row r="30" spans="1:8">
      <c r="A30" t="str">
        <v>CUST029</v>
      </c>
      <c r="B30" t="str">
        <f>_xlfn.XLOOKUP(A30,tblTransactions[Customer_ID],tblTransactions[Customer_Name],"Not Found")</f>
        <v>Edward Mitchell</v>
      </c>
      <c r="C30">
        <f>SUMIF(tblTransactions[Customer_ID],A30,tblTransactions[Total_Amount])</f>
        <v>11919.769999999999</v>
      </c>
      <c r="D30">
        <f>COUNTIF(tblTransactions[Customer_ID],A30)</f>
        <v>6</v>
      </c>
      <c r="E30">
        <f>SUMIF(tblTransactions[Customer_ID],A30,tblTransactions[Quantity])</f>
        <v>23</v>
      </c>
      <c r="F30">
        <f t="shared" si="0"/>
        <v>1986.6283333333331</v>
      </c>
      <c r="G30">
        <f t="shared" si="1"/>
        <v>2</v>
      </c>
      <c r="H30" t="str">
        <f t="shared" si="2"/>
        <v>Top 5 Customer</v>
      </c>
    </row>
    <row r="31" spans="1:8">
      <c r="A31" t="str">
        <v>CUST030</v>
      </c>
      <c r="B31" t="str">
        <f>_xlfn.XLOOKUP(A31,tblTransactions[Customer_ID],tblTransactions[Customer_Name],"Not Found")</f>
        <v>Helen Roberts</v>
      </c>
      <c r="C31">
        <f>SUMIF(tblTransactions[Customer_ID],A31,tblTransactions[Total_Amount])</f>
        <v>6459.79</v>
      </c>
      <c r="D31">
        <f>COUNTIF(tblTransactions[Customer_ID],A31)</f>
        <v>7</v>
      </c>
      <c r="E31">
        <f>SUMIF(tblTransactions[Customer_ID],A31,tblTransactions[Quantity])</f>
        <v>21</v>
      </c>
      <c r="F31">
        <f t="shared" si="0"/>
        <v>922.8271428571428</v>
      </c>
      <c r="G31">
        <f t="shared" si="1"/>
        <v>11</v>
      </c>
      <c r="H31" t="str">
        <f t="shared" si="2"/>
        <v>Regular</v>
      </c>
    </row>
    <row r="32" spans="1:8">
      <c r="A32" t="str">
        <v>CUST031</v>
      </c>
      <c r="B32" t="str">
        <f>_xlfn.XLOOKUP(A32,tblTransactions[Customer_ID],tblTransactions[Customer_Name],"Not Found")</f>
        <v>Steven Turner</v>
      </c>
      <c r="C32">
        <f>SUMIF(tblTransactions[Customer_ID],A32,tblTransactions[Total_Amount])</f>
        <v>2649.83</v>
      </c>
      <c r="D32">
        <f>COUNTIF(tblTransactions[Customer_ID],A32)</f>
        <v>6</v>
      </c>
      <c r="E32">
        <f>SUMIF(tblTransactions[Customer_ID],A32,tblTransactions[Quantity])</f>
        <v>17</v>
      </c>
      <c r="F32">
        <f t="shared" si="0"/>
        <v>441.63833333333332</v>
      </c>
      <c r="G32">
        <f t="shared" si="1"/>
        <v>34</v>
      </c>
      <c r="H32" t="str">
        <f t="shared" si="2"/>
        <v>Regular</v>
      </c>
    </row>
    <row r="33" spans="1:8">
      <c r="A33" t="str">
        <v>CUST032</v>
      </c>
      <c r="B33" t="str">
        <f>_xlfn.XLOOKUP(A33,tblTransactions[Customer_ID],tblTransactions[Customer_Name],"Not Found")</f>
        <v>Sandra Phillips</v>
      </c>
      <c r="C33">
        <f>SUMIF(tblTransactions[Customer_ID],A33,tblTransactions[Total_Amount])</f>
        <v>6349.83</v>
      </c>
      <c r="D33">
        <f>COUNTIF(tblTransactions[Customer_ID],A33)</f>
        <v>5</v>
      </c>
      <c r="E33">
        <f>SUMIF(tblTransactions[Customer_ID],A33,tblTransactions[Quantity])</f>
        <v>17</v>
      </c>
      <c r="F33">
        <f t="shared" si="0"/>
        <v>1269.9659999999999</v>
      </c>
      <c r="G33">
        <f t="shared" si="1"/>
        <v>13</v>
      </c>
      <c r="H33" t="str">
        <f t="shared" si="2"/>
        <v>Regular</v>
      </c>
    </row>
    <row r="34" spans="1:8">
      <c r="A34" t="str">
        <v>CUST033</v>
      </c>
      <c r="B34" t="str">
        <f>_xlfn.XLOOKUP(A34,tblTransactions[Customer_ID],tblTransactions[Customer_Name],"Not Found")</f>
        <v>Frank Torres</v>
      </c>
      <c r="C34">
        <f>SUMIF(tblTransactions[Customer_ID],A34,tblTransactions[Total_Amount])</f>
        <v>1479.91</v>
      </c>
      <c r="D34">
        <f>COUNTIF(tblTransactions[Customer_ID],A34)</f>
        <v>5</v>
      </c>
      <c r="E34">
        <f>SUMIF(tblTransactions[Customer_ID],A34,tblTransactions[Quantity])</f>
        <v>9</v>
      </c>
      <c r="F34">
        <f t="shared" si="0"/>
        <v>295.98200000000003</v>
      </c>
      <c r="G34">
        <f t="shared" si="1"/>
        <v>42</v>
      </c>
      <c r="H34" t="str">
        <f t="shared" si="2"/>
        <v>Regular</v>
      </c>
    </row>
    <row r="35" spans="1:8">
      <c r="A35" t="str">
        <v>CUST034</v>
      </c>
      <c r="B35" t="str">
        <f>_xlfn.XLOOKUP(A35,tblTransactions[Customer_ID],tblTransactions[Customer_Name],"Not Found")</f>
        <v>Carol Evans</v>
      </c>
      <c r="C35">
        <f>SUMIF(tblTransactions[Customer_ID],A35,tblTransactions[Total_Amount])</f>
        <v>1149.93</v>
      </c>
      <c r="D35">
        <f>COUNTIF(tblTransactions[Customer_ID],A35)</f>
        <v>3</v>
      </c>
      <c r="E35">
        <f>SUMIF(tblTransactions[Customer_ID],A35,tblTransactions[Quantity])</f>
        <v>7</v>
      </c>
      <c r="F35">
        <f t="shared" si="0"/>
        <v>383.31</v>
      </c>
      <c r="G35">
        <f t="shared" si="1"/>
        <v>45</v>
      </c>
      <c r="H35" t="str">
        <f t="shared" si="2"/>
        <v>Regular</v>
      </c>
    </row>
    <row r="36" spans="1:8">
      <c r="A36" t="str">
        <v>CUST035</v>
      </c>
      <c r="B36" t="str">
        <f>_xlfn.XLOOKUP(A36,tblTransactions[Customer_ID],tblTransactions[Customer_Name],"Not Found")</f>
        <v>Harry Morgan</v>
      </c>
      <c r="C36">
        <f>SUMIF(tblTransactions[Customer_ID],A36,tblTransactions[Total_Amount])</f>
        <v>5519.8899999999994</v>
      </c>
      <c r="D36">
        <f>COUNTIF(tblTransactions[Customer_ID],A36)</f>
        <v>4</v>
      </c>
      <c r="E36">
        <f>SUMIF(tblTransactions[Customer_ID],A36,tblTransactions[Quantity])</f>
        <v>11</v>
      </c>
      <c r="F36">
        <f t="shared" si="0"/>
        <v>1379.9724999999999</v>
      </c>
      <c r="G36">
        <f t="shared" si="1"/>
        <v>18</v>
      </c>
      <c r="H36" t="str">
        <f t="shared" si="2"/>
        <v>Regular</v>
      </c>
    </row>
    <row r="37" spans="1:8">
      <c r="A37" t="str">
        <v>CUST036</v>
      </c>
      <c r="B37" t="str">
        <f>_xlfn.XLOOKUP(A37,tblTransactions[Customer_ID],tblTransactions[Customer_Name],"Not Found")</f>
        <v>Nancy Collins</v>
      </c>
      <c r="C37">
        <f>SUMIF(tblTransactions[Customer_ID],A37,tblTransactions[Total_Amount])</f>
        <v>4189.7700000000004</v>
      </c>
      <c r="D37">
        <f>COUNTIF(tblTransactions[Customer_ID],A37)</f>
        <v>6</v>
      </c>
      <c r="E37">
        <f>SUMIF(tblTransactions[Customer_ID],A37,tblTransactions[Quantity])</f>
        <v>23</v>
      </c>
      <c r="F37">
        <f t="shared" si="0"/>
        <v>698.29500000000007</v>
      </c>
      <c r="G37">
        <f t="shared" si="1"/>
        <v>27</v>
      </c>
      <c r="H37" t="str">
        <f t="shared" si="2"/>
        <v>Regular</v>
      </c>
    </row>
    <row r="38" spans="1:8">
      <c r="A38" t="str">
        <v>CUST037</v>
      </c>
      <c r="B38" t="str">
        <f>_xlfn.XLOOKUP(A38,tblTransactions[Customer_ID],tblTransactions[Customer_Name],"Not Found")</f>
        <v>Arthur Edwards</v>
      </c>
      <c r="C38">
        <f>SUMIF(tblTransactions[Customer_ID],A38,tblTransactions[Total_Amount])</f>
        <v>1559.94</v>
      </c>
      <c r="D38">
        <f>COUNTIF(tblTransactions[Customer_ID],A38)</f>
        <v>3</v>
      </c>
      <c r="E38">
        <f>SUMIF(tblTransactions[Customer_ID],A38,tblTransactions[Quantity])</f>
        <v>6</v>
      </c>
      <c r="F38">
        <f t="shared" si="0"/>
        <v>519.98</v>
      </c>
      <c r="G38">
        <f t="shared" si="1"/>
        <v>41</v>
      </c>
      <c r="H38" t="str">
        <f t="shared" si="2"/>
        <v>Regular</v>
      </c>
    </row>
    <row r="39" spans="1:8">
      <c r="A39" t="str">
        <v>CUST038</v>
      </c>
      <c r="B39" t="str">
        <f>_xlfn.XLOOKUP(A39,tblTransactions[Customer_ID],tblTransactions[Customer_Name],"Not Found")</f>
        <v>Michelle Rogers</v>
      </c>
      <c r="C39">
        <f>SUMIF(tblTransactions[Customer_ID],A39,tblTransactions[Total_Amount])</f>
        <v>4199.9399999999996</v>
      </c>
      <c r="D39">
        <f>COUNTIF(tblTransactions[Customer_ID],A39)</f>
        <v>2</v>
      </c>
      <c r="E39">
        <f>SUMIF(tblTransactions[Customer_ID],A39,tblTransactions[Quantity])</f>
        <v>6</v>
      </c>
      <c r="F39">
        <f t="shared" si="0"/>
        <v>2099.9699999999998</v>
      </c>
      <c r="G39">
        <f t="shared" si="1"/>
        <v>26</v>
      </c>
      <c r="H39" t="str">
        <f t="shared" si="2"/>
        <v>Regular</v>
      </c>
    </row>
    <row r="40" spans="1:8">
      <c r="A40" t="str">
        <v>CUST039</v>
      </c>
      <c r="B40" t="str">
        <f>_xlfn.XLOOKUP(A40,tblTransactions[Customer_ID],tblTransactions[Customer_Name],"Not Found")</f>
        <v>Lawrence Reed</v>
      </c>
      <c r="C40">
        <f>SUMIF(tblTransactions[Customer_ID],A40,tblTransactions[Total_Amount])</f>
        <v>6989.7699999999986</v>
      </c>
      <c r="D40">
        <f>COUNTIF(tblTransactions[Customer_ID],A40)</f>
        <v>8</v>
      </c>
      <c r="E40">
        <f>SUMIF(tblTransactions[Customer_ID],A40,tblTransactions[Quantity])</f>
        <v>23</v>
      </c>
      <c r="F40">
        <f t="shared" si="0"/>
        <v>873.72124999999983</v>
      </c>
      <c r="G40">
        <f t="shared" si="1"/>
        <v>9</v>
      </c>
      <c r="H40" t="str">
        <f t="shared" si="2"/>
        <v>Regular</v>
      </c>
    </row>
    <row r="41" spans="1:8">
      <c r="A41" t="str">
        <v>CUST040</v>
      </c>
      <c r="B41" t="str">
        <f>_xlfn.XLOOKUP(A41,tblTransactions[Customer_ID],tblTransactions[Customer_Name],"Not Found")</f>
        <v>Sharon Butler</v>
      </c>
      <c r="C41">
        <f>SUMIF(tblTransactions[Customer_ID],A41,tblTransactions[Total_Amount])</f>
        <v>5619.869999999999</v>
      </c>
      <c r="D41">
        <f>COUNTIF(tblTransactions[Customer_ID],A41)</f>
        <v>6</v>
      </c>
      <c r="E41">
        <f>SUMIF(tblTransactions[Customer_ID],A41,tblTransactions[Quantity])</f>
        <v>13</v>
      </c>
      <c r="F41">
        <f t="shared" si="0"/>
        <v>936.64499999999987</v>
      </c>
      <c r="G41">
        <f t="shared" si="1"/>
        <v>17</v>
      </c>
      <c r="H41" t="str">
        <f t="shared" si="2"/>
        <v>Regular</v>
      </c>
    </row>
    <row r="42" spans="1:8">
      <c r="A42" t="str">
        <v>CUST041</v>
      </c>
      <c r="B42" t="str">
        <f>_xlfn.XLOOKUP(A42,tblTransactions[Customer_ID],tblTransactions[Customer_Name],"Not Found")</f>
        <v>Peter Richardson</v>
      </c>
      <c r="C42">
        <f>SUMIF(tblTransactions[Customer_ID],A42,tblTransactions[Total_Amount])</f>
        <v>5949.85</v>
      </c>
      <c r="D42">
        <f>COUNTIF(tblTransactions[Customer_ID],A42)</f>
        <v>5</v>
      </c>
      <c r="E42">
        <f>SUMIF(tblTransactions[Customer_ID],A42,tblTransactions[Quantity])</f>
        <v>15</v>
      </c>
      <c r="F42">
        <f t="shared" si="0"/>
        <v>1189.97</v>
      </c>
      <c r="G42">
        <f t="shared" si="1"/>
        <v>15</v>
      </c>
      <c r="H42" t="str">
        <f t="shared" si="2"/>
        <v>Regular</v>
      </c>
    </row>
    <row r="43" spans="1:8">
      <c r="A43" t="str">
        <v>CUST042</v>
      </c>
      <c r="B43" t="str">
        <f>_xlfn.XLOOKUP(A43,tblTransactions[Customer_ID],tblTransactions[Customer_Name],"Not Found")</f>
        <v>Ruth Brooks</v>
      </c>
      <c r="C43">
        <f>SUMIF(tblTransactions[Customer_ID],A43,tblTransactions[Total_Amount])</f>
        <v>1749.92</v>
      </c>
      <c r="D43">
        <f>COUNTIF(tblTransactions[Customer_ID],A43)</f>
        <v>3</v>
      </c>
      <c r="E43">
        <f>SUMIF(tblTransactions[Customer_ID],A43,tblTransactions[Quantity])</f>
        <v>8</v>
      </c>
      <c r="F43">
        <f t="shared" si="0"/>
        <v>583.30666666666673</v>
      </c>
      <c r="G43">
        <f t="shared" si="1"/>
        <v>40</v>
      </c>
      <c r="H43" t="str">
        <f t="shared" si="2"/>
        <v>Regular</v>
      </c>
    </row>
    <row r="44" spans="1:8">
      <c r="A44" t="str">
        <v>CUST043</v>
      </c>
      <c r="B44" t="str">
        <f>_xlfn.XLOOKUP(A44,tblTransactions[Customer_ID],tblTransactions[Customer_Name],"Not Found")</f>
        <v>Dennis Gray</v>
      </c>
      <c r="C44">
        <f>SUMIF(tblTransactions[Customer_ID],A44,tblTransactions[Total_Amount])</f>
        <v>479.91999999999996</v>
      </c>
      <c r="D44">
        <f>COUNTIF(tblTransactions[Customer_ID],A44)</f>
        <v>2</v>
      </c>
      <c r="E44">
        <f>SUMIF(tblTransactions[Customer_ID],A44,tblTransactions[Quantity])</f>
        <v>8</v>
      </c>
      <c r="F44">
        <f t="shared" si="0"/>
        <v>239.95999999999998</v>
      </c>
      <c r="G44">
        <f t="shared" si="1"/>
        <v>48</v>
      </c>
      <c r="H44" t="str">
        <f t="shared" si="2"/>
        <v>Regular</v>
      </c>
    </row>
    <row r="45" spans="1:8">
      <c r="A45" t="str">
        <v>CUST044</v>
      </c>
      <c r="B45" t="str">
        <f>_xlfn.XLOOKUP(A45,tblTransactions[Customer_ID],tblTransactions[Customer_Name],"Not Found")</f>
        <v>Cynthia Price</v>
      </c>
      <c r="C45">
        <f>SUMIF(tblTransactions[Customer_ID],A45,tblTransactions[Total_Amount])</f>
        <v>3769.8300000000004</v>
      </c>
      <c r="D45">
        <f>COUNTIF(tblTransactions[Customer_ID],A45)</f>
        <v>5</v>
      </c>
      <c r="E45">
        <f>SUMIF(tblTransactions[Customer_ID],A45,tblTransactions[Quantity])</f>
        <v>17</v>
      </c>
      <c r="F45">
        <f t="shared" si="0"/>
        <v>753.96600000000012</v>
      </c>
      <c r="G45">
        <f t="shared" si="1"/>
        <v>29</v>
      </c>
      <c r="H45" t="str">
        <f t="shared" si="2"/>
        <v>Regular</v>
      </c>
    </row>
    <row r="46" spans="1:8">
      <c r="A46" t="str">
        <v>CUST045</v>
      </c>
      <c r="B46" t="str">
        <f>_xlfn.XLOOKUP(A46,tblTransactions[Customer_ID],tblTransactions[Customer_Name],"Not Found")</f>
        <v>Douglas Watson</v>
      </c>
      <c r="C46">
        <f>SUMIF(tblTransactions[Customer_ID],A46,tblTransactions[Total_Amount])</f>
        <v>4829.8899999999994</v>
      </c>
      <c r="D46">
        <f>COUNTIF(tblTransactions[Customer_ID],A46)</f>
        <v>4</v>
      </c>
      <c r="E46">
        <f>SUMIF(tblTransactions[Customer_ID],A46,tblTransactions[Quantity])</f>
        <v>11</v>
      </c>
      <c r="F46">
        <f t="shared" si="0"/>
        <v>1207.4724999999999</v>
      </c>
      <c r="G46">
        <f t="shared" si="1"/>
        <v>21</v>
      </c>
      <c r="H46" t="str">
        <f t="shared" si="2"/>
        <v>Regular</v>
      </c>
    </row>
    <row r="47" spans="1:8">
      <c r="A47" t="str">
        <v>CUST046</v>
      </c>
      <c r="B47" t="str">
        <f>_xlfn.XLOOKUP(A47,tblTransactions[Customer_ID],tblTransactions[Customer_Name],"Not Found")</f>
        <v>Kathleen Bennett</v>
      </c>
      <c r="C47">
        <f>SUMIF(tblTransactions[Customer_ID],A47,tblTransactions[Total_Amount])</f>
        <v>4309.8099999999995</v>
      </c>
      <c r="D47">
        <f>COUNTIF(tblTransactions[Customer_ID],A47)</f>
        <v>6</v>
      </c>
      <c r="E47">
        <f>SUMIF(tblTransactions[Customer_ID],A47,tblTransactions[Quantity])</f>
        <v>19</v>
      </c>
      <c r="F47">
        <f t="shared" si="0"/>
        <v>718.30166666666662</v>
      </c>
      <c r="G47">
        <f t="shared" si="1"/>
        <v>25</v>
      </c>
      <c r="H47" t="str">
        <f t="shared" si="2"/>
        <v>Regular</v>
      </c>
    </row>
    <row r="48" spans="1:8">
      <c r="A48" t="str">
        <v>CUST047</v>
      </c>
      <c r="B48" t="str">
        <f>_xlfn.XLOOKUP(A48,tblTransactions[Customer_ID],tblTransactions[Customer_Name],"Not Found")</f>
        <v>Gerald Murphy</v>
      </c>
      <c r="C48">
        <f>SUMIF(tblTransactions[Customer_ID],A48,tblTransactions[Total_Amount])</f>
        <v>6379.87</v>
      </c>
      <c r="D48">
        <f>COUNTIF(tblTransactions[Customer_ID],A48)</f>
        <v>4</v>
      </c>
      <c r="E48">
        <f>SUMIF(tblTransactions[Customer_ID],A48,tblTransactions[Quantity])</f>
        <v>13</v>
      </c>
      <c r="F48">
        <f t="shared" si="0"/>
        <v>1594.9675</v>
      </c>
      <c r="G48">
        <f t="shared" si="1"/>
        <v>12</v>
      </c>
      <c r="H48" t="str">
        <f t="shared" si="2"/>
        <v>Regular</v>
      </c>
    </row>
    <row r="49" spans="1:8">
      <c r="A49" t="str">
        <v>CUST048</v>
      </c>
      <c r="B49" t="str">
        <f>_xlfn.XLOOKUP(A49,tblTransactions[Customer_ID],tblTransactions[Customer_Name],"Not Found")</f>
        <v>Virginia Sanders</v>
      </c>
      <c r="C49">
        <f>SUMIF(tblTransactions[Customer_ID],A49,tblTransactions[Total_Amount])</f>
        <v>4789.7900000000009</v>
      </c>
      <c r="D49">
        <f>COUNTIF(tblTransactions[Customer_ID],A49)</f>
        <v>6</v>
      </c>
      <c r="E49">
        <f>SUMIF(tblTransactions[Customer_ID],A49,tblTransactions[Quantity])</f>
        <v>21</v>
      </c>
      <c r="F49">
        <f t="shared" si="0"/>
        <v>798.29833333333352</v>
      </c>
      <c r="G49">
        <f t="shared" si="1"/>
        <v>22</v>
      </c>
      <c r="H49" t="str">
        <f t="shared" si="2"/>
        <v>Regular</v>
      </c>
    </row>
    <row r="50" spans="1:8">
      <c r="A50" t="str">
        <v>CUST049</v>
      </c>
      <c r="B50" t="str">
        <f>_xlfn.XLOOKUP(A50,tblTransactions[Customer_ID],tblTransactions[Customer_Name],"Not Found")</f>
        <v>Raymond Ross</v>
      </c>
      <c r="C50">
        <f>SUMIF(tblTransactions[Customer_ID],A50,tblTransactions[Total_Amount])</f>
        <v>3669.8500000000004</v>
      </c>
      <c r="D50">
        <f>COUNTIF(tblTransactions[Customer_ID],A50)</f>
        <v>4</v>
      </c>
      <c r="E50">
        <f>SUMIF(tblTransactions[Customer_ID],A50,tblTransactions[Quantity])</f>
        <v>15</v>
      </c>
      <c r="F50">
        <f t="shared" si="0"/>
        <v>917.46250000000009</v>
      </c>
      <c r="G50">
        <f t="shared" si="1"/>
        <v>30</v>
      </c>
      <c r="H50" t="str">
        <f t="shared" si="2"/>
        <v>Regular</v>
      </c>
    </row>
    <row r="51" spans="1:8">
      <c r="A51" t="str">
        <v>CUST050</v>
      </c>
      <c r="B51" t="str">
        <f>_xlfn.XLOOKUP(A51,tblTransactions[Customer_ID],tblTransactions[Customer_Name],"Not Found")</f>
        <v>Julie Foster</v>
      </c>
      <c r="C51">
        <f>SUMIF(tblTransactions[Customer_ID],A51,tblTransactions[Total_Amount])</f>
        <v>239.96</v>
      </c>
      <c r="D51">
        <f>COUNTIF(tblTransactions[Customer_ID],A51)</f>
        <v>1</v>
      </c>
      <c r="E51">
        <f>SUMIF(tblTransactions[Customer_ID],A51,tblTransactions[Quantity])</f>
        <v>4</v>
      </c>
      <c r="F51">
        <f t="shared" si="0"/>
        <v>239.96</v>
      </c>
      <c r="G51">
        <f t="shared" si="1"/>
        <v>49</v>
      </c>
      <c r="H51" t="str">
        <f t="shared" si="2"/>
        <v>Regular</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45A4B6-DB56-4CC0-9813-F4611B42DD64}">
  <dimension ref="A1:I51"/>
  <sheetViews>
    <sheetView workbookViewId="0">
      <selection activeCell="J11" sqref="J11"/>
    </sheetView>
  </sheetViews>
  <sheetFormatPr defaultRowHeight="14"/>
  <cols>
    <col min="1" max="1" width="15.81640625" customWidth="1"/>
    <col min="2" max="2" width="15.1796875" customWidth="1"/>
    <col min="3" max="3" width="14.81640625" customWidth="1"/>
    <col min="4" max="4" width="17.453125" customWidth="1"/>
    <col min="5" max="5" width="15.90625" customWidth="1"/>
    <col min="6" max="6" width="14.6328125" customWidth="1"/>
    <col min="7" max="7" width="15.1796875" customWidth="1"/>
    <col min="8" max="8" width="28.1796875" customWidth="1"/>
    <col min="9" max="9" width="10.6328125" bestFit="1" customWidth="1"/>
  </cols>
  <sheetData>
    <row r="1" spans="1:9" ht="28">
      <c r="A1" s="47" t="s">
        <v>402</v>
      </c>
      <c r="B1" s="47" t="s">
        <v>467</v>
      </c>
      <c r="C1" s="49" t="s">
        <v>5</v>
      </c>
      <c r="D1" s="47" t="s">
        <v>460</v>
      </c>
      <c r="E1" s="47" t="s">
        <v>465</v>
      </c>
      <c r="F1" s="47" t="s">
        <v>466</v>
      </c>
      <c r="H1" s="92" t="s">
        <v>539</v>
      </c>
      <c r="I1" s="92"/>
    </row>
    <row r="2" spans="1:9">
      <c r="A2" t="str" cm="1">
        <f t="array" ref="A2:A51">_xlfn._xlws.SORT(_xlfn.UNIQUE(tblTransactions[Customer_Name]))</f>
        <v>Arthur Edwards</v>
      </c>
      <c r="B2">
        <f>COUNTIF(tblTransactions[Customer_Name],A2)</f>
        <v>3</v>
      </c>
      <c r="C2" s="4" t="str" cm="1">
        <f t="array" ref="C2:C11">_xlfn._xlws.SORT(_xlfn.UNIQUE(tblTransactions[Product_Name]))</f>
        <v>Blender</v>
      </c>
      <c r="D2" s="4">
        <f>COUNTIF(tblTransactions[Product_Name],C2)</f>
        <v>29</v>
      </c>
      <c r="E2" s="4">
        <f>SUMIF(tblTransactions[Product_Name],C2,tblTransactions[Quantity])</f>
        <v>87</v>
      </c>
      <c r="F2">
        <f>SUMIF(tblTransactions[Product_Name],C2,tblTransactions[Total_Amount])</f>
        <v>5219.1299999999974</v>
      </c>
    </row>
    <row r="3" spans="1:9">
      <c r="A3" t="str">
        <v>Barbara Young</v>
      </c>
      <c r="B3">
        <f>COUNTIF(tblTransactions[Customer_Name],A3)</f>
        <v>5</v>
      </c>
      <c r="C3" t="str">
        <v>Bookshelf</v>
      </c>
      <c r="D3" s="4">
        <f>COUNTIF(tblTransactions[Product_Name],C3)</f>
        <v>35</v>
      </c>
      <c r="E3" s="4">
        <f>SUMIF(tblTransactions[Product_Name],C3,tblTransactions[Quantity])</f>
        <v>102</v>
      </c>
      <c r="F3">
        <f>SUMIF(tblTransactions[Product_Name],C3,tblTransactions[Total_Amount])</f>
        <v>15298.979999999994</v>
      </c>
      <c r="H3" s="78" t="s">
        <v>415</v>
      </c>
      <c r="I3" s="75">
        <v>100</v>
      </c>
    </row>
    <row r="4" spans="1:9">
      <c r="A4" t="str">
        <v>Betty Campbell</v>
      </c>
      <c r="B4">
        <f>COUNTIF(tblTransactions[Customer_Name],A4)</f>
        <v>5</v>
      </c>
      <c r="C4" t="str">
        <v>Coffee Maker</v>
      </c>
      <c r="D4" s="4">
        <f>COUNTIF(tblTransactions[Product_Name],C4)</f>
        <v>14</v>
      </c>
      <c r="E4" s="4">
        <f>SUMIF(tblTransactions[Product_Name],C4,tblTransactions[Quantity])</f>
        <v>39</v>
      </c>
      <c r="F4">
        <f>SUMIF(tblTransactions[Product_Name],C4,tblTransactions[Total_Amount])</f>
        <v>3119.6099999999992</v>
      </c>
      <c r="H4" s="76"/>
      <c r="I4" s="76"/>
    </row>
    <row r="5" spans="1:9">
      <c r="A5" t="str">
        <v>Carol Evans</v>
      </c>
      <c r="B5">
        <f>COUNTIF(tblTransactions[Customer_Name],A5)</f>
        <v>3</v>
      </c>
      <c r="C5" t="str">
        <v>Desk</v>
      </c>
      <c r="D5" s="4">
        <f>COUNTIF(tblTransactions[Product_Name],C5)</f>
        <v>26</v>
      </c>
      <c r="E5" s="4">
        <f>SUMIF(tblTransactions[Product_Name],C5,tblTransactions[Quantity])</f>
        <v>78</v>
      </c>
      <c r="F5">
        <f>SUMIF(tblTransactions[Product_Name],C5,tblTransactions[Total_Amount])</f>
        <v>23399.22</v>
      </c>
      <c r="H5" s="78" t="s">
        <v>7</v>
      </c>
      <c r="I5" s="75">
        <v>200</v>
      </c>
    </row>
    <row r="6" spans="1:9">
      <c r="A6" t="str">
        <v>Charles Allen</v>
      </c>
      <c r="B6">
        <f>COUNTIF(tblTransactions[Customer_Name],A6)</f>
        <v>9</v>
      </c>
      <c r="C6" t="str">
        <v>Headphones</v>
      </c>
      <c r="D6" s="4">
        <f>COUNTIF(tblTransactions[Product_Name],C6)</f>
        <v>16</v>
      </c>
      <c r="E6" s="4">
        <f>SUMIF(tblTransactions[Product_Name],C6,tblTransactions[Quantity])</f>
        <v>47</v>
      </c>
      <c r="F6">
        <f>SUMIF(tblTransactions[Product_Name],C6,tblTransactions[Total_Amount])</f>
        <v>7049.5299999999988</v>
      </c>
      <c r="H6" s="76"/>
      <c r="I6" s="76"/>
    </row>
    <row r="7" spans="1:9">
      <c r="A7" t="str">
        <v>Cynthia Price</v>
      </c>
      <c r="B7">
        <f>COUNTIF(tblTransactions[Customer_Name],A7)</f>
        <v>5</v>
      </c>
      <c r="C7" t="str">
        <v>Keyboard</v>
      </c>
      <c r="D7" s="4">
        <f>COUNTIF(tblTransactions[Product_Name],C7)</f>
        <v>34</v>
      </c>
      <c r="E7" s="4">
        <f>SUMIF(tblTransactions[Product_Name],C7,tblTransactions[Quantity])</f>
        <v>89</v>
      </c>
      <c r="F7">
        <f>SUMIF(tblTransactions[Product_Name],C7,tblTransactions[Total_Amount])</f>
        <v>8009.1099999999969</v>
      </c>
      <c r="H7" s="76"/>
      <c r="I7" s="76"/>
    </row>
    <row r="8" spans="1:9">
      <c r="A8" t="str">
        <v>Daniel King</v>
      </c>
      <c r="B8">
        <f>COUNTIF(tblTransactions[Customer_Name],A8)</f>
        <v>7</v>
      </c>
      <c r="C8" t="str">
        <v>Laptop</v>
      </c>
      <c r="D8" s="4">
        <f>COUNTIF(tblTransactions[Product_Name],C8)</f>
        <v>24</v>
      </c>
      <c r="E8" s="4">
        <f>SUMIF(tblTransactions[Product_Name],C8,tblTransactions[Quantity])</f>
        <v>75</v>
      </c>
      <c r="F8">
        <f>SUMIF(tblTransactions[Product_Name],C8,tblTransactions[Total_Amount])</f>
        <v>67499.25</v>
      </c>
      <c r="H8" s="78" t="s">
        <v>503</v>
      </c>
      <c r="I8" s="77">
        <f>I3*I5</f>
        <v>20000</v>
      </c>
    </row>
    <row r="9" spans="1:9">
      <c r="A9" t="str">
        <v>David Martinez</v>
      </c>
      <c r="B9">
        <f>COUNTIF(tblTransactions[Customer_Name],A9)</f>
        <v>6</v>
      </c>
      <c r="C9" t="str">
        <v>Monitor</v>
      </c>
      <c r="D9" s="4">
        <f>COUNTIF(tblTransactions[Product_Name],C9)</f>
        <v>26</v>
      </c>
      <c r="E9" s="4">
        <f>SUMIF(tblTransactions[Product_Name],C9,tblTransactions[Quantity])</f>
        <v>88</v>
      </c>
      <c r="F9">
        <f>SUMIF(tblTransactions[Product_Name],C9,tblTransactions[Total_Amount])</f>
        <v>21999.119999999999</v>
      </c>
    </row>
    <row r="10" spans="1:9">
      <c r="A10" t="str">
        <v>Dennis Gray</v>
      </c>
      <c r="B10">
        <f>COUNTIF(tblTransactions[Customer_Name],A10)</f>
        <v>2</v>
      </c>
      <c r="C10" t="str">
        <v>Office Chair</v>
      </c>
      <c r="D10" s="4">
        <f>COUNTIF(tblTransactions[Product_Name],C10)</f>
        <v>15</v>
      </c>
      <c r="E10" s="4">
        <f>SUMIF(tblTransactions[Product_Name],C10,tblTransactions[Quantity])</f>
        <v>52</v>
      </c>
      <c r="F10">
        <f>SUMIF(tblTransactions[Product_Name],C10,tblTransactions[Total_Amount])</f>
        <v>10399.479999999998</v>
      </c>
    </row>
    <row r="11" spans="1:9">
      <c r="A11" t="str">
        <v>Dorothy Nelson</v>
      </c>
      <c r="B11">
        <f>COUNTIF(tblTransactions[Customer_Name],A11)</f>
        <v>6</v>
      </c>
      <c r="C11" t="str">
        <v>Smartphone</v>
      </c>
      <c r="D11" s="4">
        <f>COUNTIF(tblTransactions[Product_Name],C11)</f>
        <v>31</v>
      </c>
      <c r="E11" s="4">
        <f>SUMIF(tblTransactions[Product_Name],C11,tblTransactions[Quantity])</f>
        <v>96</v>
      </c>
      <c r="F11">
        <f>SUMIF(tblTransactions[Product_Name],C11,tblTransactions[Total_Amount])</f>
        <v>67199.039999999994</v>
      </c>
    </row>
    <row r="12" spans="1:9">
      <c r="A12" t="str">
        <v>Douglas Watson</v>
      </c>
      <c r="B12">
        <f>COUNTIF(tblTransactions[Customer_Name],A12)</f>
        <v>4</v>
      </c>
    </row>
    <row r="13" spans="1:9">
      <c r="A13" t="str">
        <v>Edward Mitchell</v>
      </c>
      <c r="B13">
        <f>COUNTIF(tblTransactions[Customer_Name],A13)</f>
        <v>6</v>
      </c>
    </row>
    <row r="14" spans="1:9">
      <c r="A14" t="str">
        <v>Elizabeth Hall</v>
      </c>
      <c r="B14">
        <f>COUNTIF(tblTransactions[Customer_Name],A14)</f>
        <v>4</v>
      </c>
    </row>
    <row r="15" spans="1:9">
      <c r="A15" t="str">
        <v>Emma Wilson</v>
      </c>
      <c r="B15">
        <f>COUNTIF(tblTransactions[Customer_Name],A15)</f>
        <v>5</v>
      </c>
    </row>
    <row r="16" spans="1:9">
      <c r="A16" t="str">
        <v>Frank Torres</v>
      </c>
      <c r="B16">
        <f>COUNTIF(tblTransactions[Customer_Name],A16)</f>
        <v>5</v>
      </c>
    </row>
    <row r="17" spans="1:2">
      <c r="A17" t="str">
        <v>George Adams</v>
      </c>
      <c r="B17">
        <f>COUNTIF(tblTransactions[Customer_Name],A17)</f>
        <v>3</v>
      </c>
    </row>
    <row r="18" spans="1:2">
      <c r="A18" t="str">
        <v>Gerald Murphy</v>
      </c>
      <c r="B18">
        <f>COUNTIF(tblTransactions[Customer_Name],A18)</f>
        <v>4</v>
      </c>
    </row>
    <row r="19" spans="1:2">
      <c r="A19" t="str">
        <v>Harry Morgan</v>
      </c>
      <c r="B19">
        <f>COUNTIF(tblTransactions[Customer_Name],A19)</f>
        <v>4</v>
      </c>
    </row>
    <row r="20" spans="1:2">
      <c r="A20" t="str">
        <v>Helen Roberts</v>
      </c>
      <c r="B20">
        <f>COUNTIF(tblTransactions[Customer_Name],A20)</f>
        <v>7</v>
      </c>
    </row>
    <row r="21" spans="1:2">
      <c r="A21" t="str">
        <v>James Johnson</v>
      </c>
      <c r="B21">
        <f>COUNTIF(tblTransactions[Customer_Name],A21)</f>
        <v>1</v>
      </c>
    </row>
    <row r="22" spans="1:2">
      <c r="A22" t="str">
        <v>Jennifer Taylor</v>
      </c>
      <c r="B22">
        <f>COUNTIF(tblTransactions[Customer_Name],A22)</f>
        <v>4</v>
      </c>
    </row>
    <row r="23" spans="1:2">
      <c r="A23" t="str">
        <v>John Smith</v>
      </c>
      <c r="B23">
        <f>COUNTIF(tblTransactions[Customer_Name],A23)</f>
        <v>1</v>
      </c>
    </row>
    <row r="24" spans="1:2">
      <c r="A24" t="str">
        <v>Joseph Jackson</v>
      </c>
      <c r="B24">
        <f>COUNTIF(tblTransactions[Customer_Name],A24)</f>
        <v>5</v>
      </c>
    </row>
    <row r="25" spans="1:2">
      <c r="A25" t="str">
        <v>Julie Foster</v>
      </c>
      <c r="B25">
        <f>COUNTIF(tblTransactions[Customer_Name],A25)</f>
        <v>1</v>
      </c>
    </row>
    <row r="26" spans="1:2">
      <c r="A26" t="str">
        <v>Karen Hill</v>
      </c>
      <c r="B26">
        <f>COUNTIF(tblTransactions[Customer_Name],A26)</f>
        <v>8</v>
      </c>
    </row>
    <row r="27" spans="1:2">
      <c r="A27" t="str">
        <v>Kathleen Bennett</v>
      </c>
      <c r="B27">
        <f>COUNTIF(tblTransactions[Customer_Name],A27)</f>
        <v>6</v>
      </c>
    </row>
    <row r="28" spans="1:2">
      <c r="A28" t="str">
        <v>Kevin Scott</v>
      </c>
      <c r="B28">
        <f>COUNTIF(tblTransactions[Customer_Name],A28)</f>
        <v>6</v>
      </c>
    </row>
    <row r="29" spans="1:2">
      <c r="A29" t="str">
        <v>Lawrence Reed</v>
      </c>
      <c r="B29">
        <f>COUNTIF(tblTransactions[Customer_Name],A29)</f>
        <v>8</v>
      </c>
    </row>
    <row r="30" spans="1:2">
      <c r="A30" t="str">
        <v>Linda Martin</v>
      </c>
      <c r="B30">
        <f>COUNTIF(tblTransactions[Customer_Name],A30)</f>
        <v>4</v>
      </c>
    </row>
    <row r="31" spans="1:2">
      <c r="A31" t="str">
        <v>Lisa Anderson</v>
      </c>
      <c r="B31">
        <f>COUNTIF(tblTransactions[Customer_Name],A31)</f>
        <v>5</v>
      </c>
    </row>
    <row r="32" spans="1:2">
      <c r="A32" t="str">
        <v>Margaret Wright</v>
      </c>
      <c r="B32">
        <f>COUNTIF(tblTransactions[Customer_Name],A32)</f>
        <v>4</v>
      </c>
    </row>
    <row r="33" spans="1:2">
      <c r="A33" t="str">
        <v>Maria Garcia</v>
      </c>
      <c r="B33">
        <f>COUNTIF(tblTransactions[Customer_Name],A33)</f>
        <v>4</v>
      </c>
    </row>
    <row r="34" spans="1:2">
      <c r="A34" t="str">
        <v>Mark Carter</v>
      </c>
      <c r="B34">
        <f>COUNTIF(tblTransactions[Customer_Name],A34)</f>
        <v>12</v>
      </c>
    </row>
    <row r="35" spans="1:2">
      <c r="A35" t="str">
        <v>Michael Brown</v>
      </c>
      <c r="B35">
        <f>COUNTIF(tblTransactions[Customer_Name],A35)</f>
        <v>9</v>
      </c>
    </row>
    <row r="36" spans="1:2">
      <c r="A36" t="str">
        <v>Michelle Rogers</v>
      </c>
      <c r="B36">
        <f>COUNTIF(tblTransactions[Customer_Name],A36)</f>
        <v>2</v>
      </c>
    </row>
    <row r="37" spans="1:2">
      <c r="A37" t="str">
        <v>Nancy Collins</v>
      </c>
      <c r="B37">
        <f>COUNTIF(tblTransactions[Customer_Name],A37)</f>
        <v>6</v>
      </c>
    </row>
    <row r="38" spans="1:2">
      <c r="A38" t="str">
        <v>Patricia Moore</v>
      </c>
      <c r="B38">
        <f>COUNTIF(tblTransactions[Customer_Name],A38)</f>
        <v>8</v>
      </c>
    </row>
    <row r="39" spans="1:2">
      <c r="A39" t="str">
        <v>Paul Baker</v>
      </c>
      <c r="B39">
        <f>COUNTIF(tblTransactions[Customer_Name],A39)</f>
        <v>8</v>
      </c>
    </row>
    <row r="40" spans="1:2">
      <c r="A40" t="str">
        <v>Peter Richardson</v>
      </c>
      <c r="B40">
        <f>COUNTIF(tblTransactions[Customer_Name],A40)</f>
        <v>5</v>
      </c>
    </row>
    <row r="41" spans="1:2">
      <c r="A41" t="str">
        <v>Raymond Ross</v>
      </c>
      <c r="B41">
        <f>COUNTIF(tblTransactions[Customer_Name],A41)</f>
        <v>4</v>
      </c>
    </row>
    <row r="42" spans="1:2">
      <c r="A42" t="str">
        <v>Richard Lee</v>
      </c>
      <c r="B42">
        <f>COUNTIF(tblTransactions[Customer_Name],A42)</f>
        <v>3</v>
      </c>
    </row>
    <row r="43" spans="1:2">
      <c r="A43" t="str">
        <v>Robert Thomas</v>
      </c>
      <c r="B43">
        <f>COUNTIF(tblTransactions[Customer_Name],A43)</f>
        <v>5</v>
      </c>
    </row>
    <row r="44" spans="1:2">
      <c r="A44" t="str">
        <v>Ruth Brooks</v>
      </c>
      <c r="B44">
        <f>COUNTIF(tblTransactions[Customer_Name],A44)</f>
        <v>3</v>
      </c>
    </row>
    <row r="45" spans="1:2">
      <c r="A45" t="str">
        <v>Sandra Phillips</v>
      </c>
      <c r="B45">
        <f>COUNTIF(tblTransactions[Customer_Name],A45)</f>
        <v>5</v>
      </c>
    </row>
    <row r="46" spans="1:2">
      <c r="A46" t="str">
        <v>Sarah Davis</v>
      </c>
      <c r="B46">
        <f>COUNTIF(tblTransactions[Customer_Name],A46)</f>
        <v>5</v>
      </c>
    </row>
    <row r="47" spans="1:2">
      <c r="A47" t="str">
        <v>Sharon Butler</v>
      </c>
      <c r="B47">
        <f>COUNTIF(tblTransactions[Customer_Name],A47)</f>
        <v>6</v>
      </c>
    </row>
    <row r="48" spans="1:2">
      <c r="A48" t="str">
        <v>Steven Turner</v>
      </c>
      <c r="B48">
        <f>COUNTIF(tblTransactions[Customer_Name],A48)</f>
        <v>6</v>
      </c>
    </row>
    <row r="49" spans="1:2">
      <c r="A49" t="str">
        <v>Susan Green</v>
      </c>
      <c r="B49">
        <f>COUNTIF(tblTransactions[Customer_Name],A49)</f>
        <v>4</v>
      </c>
    </row>
    <row r="50" spans="1:2">
      <c r="A50" t="str">
        <v>Virginia Sanders</v>
      </c>
      <c r="B50">
        <f>COUNTIF(tblTransactions[Customer_Name],A50)</f>
        <v>6</v>
      </c>
    </row>
    <row r="51" spans="1:2">
      <c r="A51" t="str">
        <v>William White</v>
      </c>
      <c r="B51">
        <f>COUNTIF(tblTransactions[Customer_Name],A51)</f>
        <v>3</v>
      </c>
    </row>
  </sheetData>
  <mergeCells count="1">
    <mergeCell ref="H1:I1"/>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480E1E-2AA2-47D4-96A8-21F8D0E536E4}">
  <dimension ref="A2:I256"/>
  <sheetViews>
    <sheetView topLeftCell="B1" zoomScale="75" workbookViewId="0">
      <selection activeCell="K46" sqref="K46"/>
    </sheetView>
  </sheetViews>
  <sheetFormatPr defaultRowHeight="14"/>
  <cols>
    <col min="1" max="1" width="14.36328125" bestFit="1" customWidth="1"/>
    <col min="2" max="2" width="21.453125" bestFit="1" customWidth="1"/>
    <col min="4" max="4" width="14.36328125" bestFit="1" customWidth="1"/>
    <col min="5" max="5" width="21.453125" bestFit="1" customWidth="1"/>
    <col min="6" max="6" width="15.54296875" bestFit="1" customWidth="1"/>
    <col min="7" max="7" width="14.36328125" bestFit="1" customWidth="1"/>
    <col min="8" max="8" width="21.453125" bestFit="1" customWidth="1"/>
    <col min="9" max="9" width="16.453125" bestFit="1" customWidth="1"/>
    <col min="11" max="11" width="13.36328125" bestFit="1" customWidth="1"/>
    <col min="12" max="12" width="20.6328125" bestFit="1" customWidth="1"/>
  </cols>
  <sheetData>
    <row r="2" spans="1:9">
      <c r="A2" s="42" t="s">
        <v>434</v>
      </c>
      <c r="B2" t="s">
        <v>485</v>
      </c>
      <c r="D2" s="42" t="s">
        <v>434</v>
      </c>
      <c r="E2" t="s">
        <v>485</v>
      </c>
      <c r="G2" s="42" t="s">
        <v>434</v>
      </c>
      <c r="H2" t="s">
        <v>485</v>
      </c>
      <c r="I2" t="s">
        <v>486</v>
      </c>
    </row>
    <row r="3" spans="1:9">
      <c r="A3" s="43" t="s">
        <v>22</v>
      </c>
      <c r="B3" s="15">
        <v>62177.810000000027</v>
      </c>
      <c r="D3" s="43" t="s">
        <v>487</v>
      </c>
      <c r="E3" s="15">
        <v>160444.72999999998</v>
      </c>
      <c r="G3" s="43" t="s">
        <v>32</v>
      </c>
      <c r="H3" s="15">
        <v>5219.1299999999974</v>
      </c>
      <c r="I3" s="22">
        <v>87</v>
      </c>
    </row>
    <row r="4" spans="1:9">
      <c r="A4" s="44" t="s">
        <v>207</v>
      </c>
      <c r="B4" s="15">
        <v>899.97</v>
      </c>
      <c r="D4" s="44" t="s">
        <v>489</v>
      </c>
      <c r="E4" s="15">
        <v>20919.330000000002</v>
      </c>
      <c r="G4" s="43" t="s">
        <v>45</v>
      </c>
      <c r="H4" s="15">
        <v>15298.979999999994</v>
      </c>
      <c r="I4" s="22">
        <v>102</v>
      </c>
    </row>
    <row r="5" spans="1:9">
      <c r="A5" s="44" t="s">
        <v>245</v>
      </c>
      <c r="B5" s="15">
        <v>599.96</v>
      </c>
      <c r="D5" s="44" t="s">
        <v>490</v>
      </c>
      <c r="E5" s="15">
        <v>17039.349999999999</v>
      </c>
      <c r="G5" s="43" t="s">
        <v>115</v>
      </c>
      <c r="H5" s="15">
        <v>3119.6099999999992</v>
      </c>
      <c r="I5" s="22">
        <v>39</v>
      </c>
    </row>
    <row r="6" spans="1:9">
      <c r="A6" s="44" t="s">
        <v>174</v>
      </c>
      <c r="B6" s="15">
        <v>179.98</v>
      </c>
      <c r="D6" s="44" t="s">
        <v>491</v>
      </c>
      <c r="E6" s="15">
        <v>19299.45</v>
      </c>
      <c r="G6" s="43" t="s">
        <v>106</v>
      </c>
      <c r="H6" s="15">
        <v>23399.22</v>
      </c>
      <c r="I6" s="22">
        <v>78</v>
      </c>
    </row>
    <row r="7" spans="1:9">
      <c r="A7" s="44" t="s">
        <v>274</v>
      </c>
      <c r="B7" s="15">
        <v>1399.98</v>
      </c>
      <c r="D7" s="44" t="s">
        <v>492</v>
      </c>
      <c r="E7" s="15">
        <v>18479.399999999994</v>
      </c>
      <c r="G7" s="43" t="s">
        <v>53</v>
      </c>
      <c r="H7" s="15">
        <v>7049.5299999999988</v>
      </c>
      <c r="I7" s="22">
        <v>47</v>
      </c>
    </row>
    <row r="8" spans="1:9">
      <c r="A8" s="44" t="s">
        <v>292</v>
      </c>
      <c r="B8" s="15">
        <v>1249.95</v>
      </c>
      <c r="D8" s="44" t="s">
        <v>493</v>
      </c>
      <c r="E8" s="15">
        <v>15759.429999999997</v>
      </c>
      <c r="G8" s="43" t="s">
        <v>118</v>
      </c>
      <c r="H8" s="15">
        <v>8009.1099999999969</v>
      </c>
      <c r="I8" s="22">
        <v>89</v>
      </c>
    </row>
    <row r="9" spans="1:9">
      <c r="A9" s="44" t="s">
        <v>383</v>
      </c>
      <c r="B9" s="15">
        <v>2699.97</v>
      </c>
      <c r="D9" s="44" t="s">
        <v>494</v>
      </c>
      <c r="E9" s="15">
        <v>12989.509999999997</v>
      </c>
      <c r="G9" s="43" t="s">
        <v>62</v>
      </c>
      <c r="H9" s="15">
        <v>67499.25</v>
      </c>
      <c r="I9" s="22">
        <v>75</v>
      </c>
    </row>
    <row r="10" spans="1:9">
      <c r="A10" s="44" t="s">
        <v>380</v>
      </c>
      <c r="B10" s="15">
        <v>119.98</v>
      </c>
      <c r="D10" s="44" t="s">
        <v>495</v>
      </c>
      <c r="E10" s="15">
        <v>20609.52</v>
      </c>
      <c r="G10" s="43" t="s">
        <v>18</v>
      </c>
      <c r="H10" s="15">
        <v>21999.119999999999</v>
      </c>
      <c r="I10" s="22">
        <v>88</v>
      </c>
    </row>
    <row r="11" spans="1:9">
      <c r="A11" s="44" t="s">
        <v>136</v>
      </c>
      <c r="B11" s="15">
        <v>239.97</v>
      </c>
      <c r="D11" s="44" t="s">
        <v>496</v>
      </c>
      <c r="E11" s="15">
        <v>12309.439999999999</v>
      </c>
      <c r="G11" s="43" t="s">
        <v>127</v>
      </c>
      <c r="H11" s="15">
        <v>10399.479999999998</v>
      </c>
      <c r="I11" s="22">
        <v>52</v>
      </c>
    </row>
    <row r="12" spans="1:9">
      <c r="A12" s="44" t="s">
        <v>335</v>
      </c>
      <c r="B12" s="15">
        <v>299.99</v>
      </c>
      <c r="D12" s="44" t="s">
        <v>497</v>
      </c>
      <c r="E12" s="15">
        <v>23039.3</v>
      </c>
      <c r="G12" s="43" t="s">
        <v>81</v>
      </c>
      <c r="H12" s="15">
        <v>67199.039999999994</v>
      </c>
      <c r="I12" s="22">
        <v>96</v>
      </c>
    </row>
    <row r="13" spans="1:9">
      <c r="A13" s="44" t="s">
        <v>170</v>
      </c>
      <c r="B13" s="15">
        <v>359.96</v>
      </c>
      <c r="D13" s="43" t="s">
        <v>488</v>
      </c>
      <c r="E13" s="15">
        <v>68747.739999999991</v>
      </c>
      <c r="G13" s="43" t="s">
        <v>484</v>
      </c>
      <c r="H13" s="15">
        <v>229192.46999999997</v>
      </c>
      <c r="I13" s="22">
        <v>753</v>
      </c>
    </row>
    <row r="14" spans="1:9">
      <c r="A14" s="44" t="s">
        <v>311</v>
      </c>
      <c r="B14" s="15">
        <v>119.98</v>
      </c>
      <c r="D14" s="44" t="s">
        <v>498</v>
      </c>
      <c r="E14" s="15">
        <v>25799.15</v>
      </c>
    </row>
    <row r="15" spans="1:9">
      <c r="A15" s="44" t="s">
        <v>345</v>
      </c>
      <c r="B15" s="15">
        <v>3599.96</v>
      </c>
      <c r="D15" s="44" t="s">
        <v>499</v>
      </c>
      <c r="E15" s="15">
        <v>16069.379999999997</v>
      </c>
    </row>
    <row r="16" spans="1:9">
      <c r="A16" s="44" t="s">
        <v>223</v>
      </c>
      <c r="B16" s="15">
        <v>449.97</v>
      </c>
      <c r="D16" s="44" t="s">
        <v>500</v>
      </c>
      <c r="E16" s="15">
        <v>19899.379999999997</v>
      </c>
      <c r="G16" s="42" t="s">
        <v>434</v>
      </c>
      <c r="H16" t="s">
        <v>485</v>
      </c>
    </row>
    <row r="17" spans="1:8">
      <c r="A17" s="44" t="s">
        <v>308</v>
      </c>
      <c r="B17" s="15">
        <v>1799.98</v>
      </c>
      <c r="D17" s="44" t="s">
        <v>489</v>
      </c>
      <c r="E17" s="15">
        <v>6979.829999999999</v>
      </c>
      <c r="G17" s="43" t="s">
        <v>33</v>
      </c>
      <c r="H17" s="15">
        <v>8338.7399999999961</v>
      </c>
    </row>
    <row r="18" spans="1:8">
      <c r="A18" s="44" t="s">
        <v>269</v>
      </c>
      <c r="B18" s="15">
        <v>2799.96</v>
      </c>
      <c r="D18" s="43" t="s">
        <v>484</v>
      </c>
      <c r="E18" s="15">
        <v>229192.46999999997</v>
      </c>
      <c r="G18" s="43" t="s">
        <v>19</v>
      </c>
      <c r="H18" s="15">
        <v>171756.05000000013</v>
      </c>
    </row>
    <row r="19" spans="1:8">
      <c r="A19" s="44" t="s">
        <v>282</v>
      </c>
      <c r="B19" s="15">
        <v>449.97</v>
      </c>
      <c r="G19" s="43" t="s">
        <v>46</v>
      </c>
      <c r="H19" s="15">
        <v>49097.680000000015</v>
      </c>
    </row>
    <row r="20" spans="1:8">
      <c r="A20" s="44" t="s">
        <v>394</v>
      </c>
      <c r="B20" s="15">
        <v>239.97</v>
      </c>
      <c r="G20" s="43" t="s">
        <v>484</v>
      </c>
      <c r="H20" s="15">
        <v>229192.47000000015</v>
      </c>
    </row>
    <row r="21" spans="1:8">
      <c r="A21" s="44" t="s">
        <v>110</v>
      </c>
      <c r="B21" s="15">
        <v>1499.95</v>
      </c>
      <c r="D21" s="42" t="s">
        <v>434</v>
      </c>
      <c r="E21" t="s">
        <v>485</v>
      </c>
    </row>
    <row r="22" spans="1:8">
      <c r="A22" s="44" t="s">
        <v>314</v>
      </c>
      <c r="B22" s="15">
        <v>299.98</v>
      </c>
      <c r="D22" s="43" t="s">
        <v>21</v>
      </c>
      <c r="E22" s="15">
        <v>41288.340000000018</v>
      </c>
    </row>
    <row r="23" spans="1:8">
      <c r="A23" s="44" t="s">
        <v>370</v>
      </c>
      <c r="B23" s="15">
        <v>599.98</v>
      </c>
      <c r="D23" s="43" t="s">
        <v>63</v>
      </c>
      <c r="E23" s="15">
        <v>59288.389999999992</v>
      </c>
    </row>
    <row r="24" spans="1:8">
      <c r="A24" s="44" t="s">
        <v>338</v>
      </c>
      <c r="B24" s="15">
        <v>899.97</v>
      </c>
      <c r="D24" s="43" t="s">
        <v>40</v>
      </c>
      <c r="E24" s="15">
        <v>50808.310000000012</v>
      </c>
    </row>
    <row r="25" spans="1:8">
      <c r="A25" s="44" t="s">
        <v>249</v>
      </c>
      <c r="B25" s="15">
        <v>799.96</v>
      </c>
      <c r="D25" s="43" t="s">
        <v>35</v>
      </c>
      <c r="E25" s="15">
        <v>36398.750000000007</v>
      </c>
    </row>
    <row r="26" spans="1:8">
      <c r="A26" s="44" t="s">
        <v>340</v>
      </c>
      <c r="B26" s="15">
        <v>1499.95</v>
      </c>
      <c r="D26" s="43" t="s">
        <v>50</v>
      </c>
      <c r="E26" s="15">
        <v>41408.680000000015</v>
      </c>
    </row>
    <row r="27" spans="1:8">
      <c r="A27" s="44" t="s">
        <v>210</v>
      </c>
      <c r="B27" s="15">
        <v>299.98</v>
      </c>
      <c r="D27" s="43" t="s">
        <v>484</v>
      </c>
      <c r="E27" s="15">
        <v>229192.47000000006</v>
      </c>
    </row>
    <row r="28" spans="1:8">
      <c r="A28" s="44" t="s">
        <v>349</v>
      </c>
      <c r="B28" s="15">
        <v>179.98</v>
      </c>
    </row>
    <row r="29" spans="1:8">
      <c r="A29" s="44" t="s">
        <v>181</v>
      </c>
      <c r="B29" s="15">
        <v>399.95</v>
      </c>
    </row>
    <row r="30" spans="1:8">
      <c r="A30" s="44" t="s">
        <v>287</v>
      </c>
      <c r="B30" s="15">
        <v>749.95</v>
      </c>
    </row>
    <row r="31" spans="1:8">
      <c r="A31" s="44" t="s">
        <v>272</v>
      </c>
      <c r="B31" s="15">
        <v>269.97000000000003</v>
      </c>
    </row>
    <row r="32" spans="1:8">
      <c r="A32" s="44" t="s">
        <v>184</v>
      </c>
      <c r="B32" s="15">
        <v>149.99</v>
      </c>
    </row>
    <row r="33" spans="1:2">
      <c r="A33" s="44" t="s">
        <v>356</v>
      </c>
      <c r="B33" s="15">
        <v>599.97</v>
      </c>
    </row>
    <row r="34" spans="1:2">
      <c r="A34" s="44" t="s">
        <v>273</v>
      </c>
      <c r="B34" s="15">
        <v>299.98</v>
      </c>
    </row>
    <row r="35" spans="1:2">
      <c r="A35" s="44" t="s">
        <v>194</v>
      </c>
      <c r="B35" s="15">
        <v>399.98</v>
      </c>
    </row>
    <row r="36" spans="1:2">
      <c r="A36" s="44" t="s">
        <v>334</v>
      </c>
      <c r="B36" s="15">
        <v>79.989999999999995</v>
      </c>
    </row>
    <row r="37" spans="1:2">
      <c r="A37" s="44" t="s">
        <v>397</v>
      </c>
      <c r="B37" s="15">
        <v>179.98</v>
      </c>
    </row>
    <row r="38" spans="1:2">
      <c r="A38" s="44" t="s">
        <v>353</v>
      </c>
      <c r="B38" s="15">
        <v>1499.95</v>
      </c>
    </row>
    <row r="39" spans="1:2">
      <c r="A39" s="44" t="s">
        <v>342</v>
      </c>
      <c r="B39" s="15">
        <v>299.95</v>
      </c>
    </row>
    <row r="40" spans="1:2">
      <c r="A40" s="44" t="s">
        <v>241</v>
      </c>
      <c r="B40" s="15">
        <v>319.95999999999998</v>
      </c>
    </row>
    <row r="41" spans="1:2">
      <c r="A41" s="44" t="s">
        <v>395</v>
      </c>
      <c r="B41" s="15">
        <v>89.99</v>
      </c>
    </row>
    <row r="42" spans="1:2">
      <c r="A42" s="44" t="s">
        <v>152</v>
      </c>
      <c r="B42" s="15">
        <v>89.99</v>
      </c>
    </row>
    <row r="43" spans="1:2">
      <c r="A43" s="44" t="s">
        <v>256</v>
      </c>
      <c r="B43" s="15">
        <v>449.97</v>
      </c>
    </row>
    <row r="44" spans="1:2">
      <c r="A44" s="44" t="s">
        <v>396</v>
      </c>
      <c r="B44" s="15">
        <v>2099.9699999999998</v>
      </c>
    </row>
    <row r="45" spans="1:2">
      <c r="A45" s="44" t="s">
        <v>254</v>
      </c>
      <c r="B45" s="15">
        <v>2799.96</v>
      </c>
    </row>
    <row r="46" spans="1:2">
      <c r="A46" s="44" t="s">
        <v>177</v>
      </c>
      <c r="B46" s="15">
        <v>149.99</v>
      </c>
    </row>
    <row r="47" spans="1:2">
      <c r="A47" s="44" t="s">
        <v>149</v>
      </c>
      <c r="B47" s="15">
        <v>119.98</v>
      </c>
    </row>
    <row r="48" spans="1:2">
      <c r="A48" s="44" t="s">
        <v>222</v>
      </c>
      <c r="B48" s="15">
        <v>4499.95</v>
      </c>
    </row>
    <row r="49" spans="1:2">
      <c r="A49" s="44" t="s">
        <v>88</v>
      </c>
      <c r="B49" s="15">
        <v>1399.98</v>
      </c>
    </row>
    <row r="50" spans="1:2">
      <c r="A50" s="44" t="s">
        <v>318</v>
      </c>
      <c r="B50" s="15">
        <v>599.98</v>
      </c>
    </row>
    <row r="51" spans="1:2">
      <c r="A51" s="44" t="s">
        <v>262</v>
      </c>
      <c r="B51" s="15">
        <v>119.98</v>
      </c>
    </row>
    <row r="52" spans="1:2">
      <c r="A52" s="44" t="s">
        <v>364</v>
      </c>
      <c r="B52" s="15">
        <v>699.99</v>
      </c>
    </row>
    <row r="53" spans="1:2">
      <c r="A53" s="44" t="s">
        <v>388</v>
      </c>
      <c r="B53" s="15">
        <v>319.95999999999998</v>
      </c>
    </row>
    <row r="54" spans="1:2">
      <c r="A54" s="44" t="s">
        <v>14</v>
      </c>
      <c r="B54" s="15">
        <v>749.97</v>
      </c>
    </row>
    <row r="55" spans="1:2">
      <c r="A55" s="44" t="s">
        <v>206</v>
      </c>
      <c r="B55" s="15">
        <v>179.98</v>
      </c>
    </row>
    <row r="56" spans="1:2">
      <c r="A56" s="44" t="s">
        <v>267</v>
      </c>
      <c r="B56" s="15">
        <v>2699.97</v>
      </c>
    </row>
    <row r="57" spans="1:2">
      <c r="A57" s="44" t="s">
        <v>242</v>
      </c>
      <c r="B57" s="15">
        <v>79.989999999999995</v>
      </c>
    </row>
    <row r="58" spans="1:2">
      <c r="A58" s="44" t="s">
        <v>319</v>
      </c>
      <c r="B58" s="15">
        <v>799.96</v>
      </c>
    </row>
    <row r="59" spans="1:2">
      <c r="A59" s="44" t="s">
        <v>195</v>
      </c>
      <c r="B59" s="15">
        <v>179.97</v>
      </c>
    </row>
    <row r="60" spans="1:2">
      <c r="A60" s="44" t="s">
        <v>317</v>
      </c>
      <c r="B60" s="15">
        <v>599.98</v>
      </c>
    </row>
    <row r="61" spans="1:2">
      <c r="A61" s="44" t="s">
        <v>257</v>
      </c>
      <c r="B61" s="15">
        <v>599.98</v>
      </c>
    </row>
    <row r="62" spans="1:2">
      <c r="A62" s="44" t="s">
        <v>271</v>
      </c>
      <c r="B62" s="15">
        <v>299.98</v>
      </c>
    </row>
    <row r="63" spans="1:2">
      <c r="A63" s="44" t="s">
        <v>77</v>
      </c>
      <c r="B63" s="15">
        <v>2099.9699999999998</v>
      </c>
    </row>
    <row r="64" spans="1:2">
      <c r="A64" s="44" t="s">
        <v>128</v>
      </c>
      <c r="B64" s="15">
        <v>299.98</v>
      </c>
    </row>
    <row r="65" spans="1:2">
      <c r="A65" s="44" t="s">
        <v>248</v>
      </c>
      <c r="B65" s="15">
        <v>499.98</v>
      </c>
    </row>
    <row r="66" spans="1:2">
      <c r="A66" s="44" t="s">
        <v>357</v>
      </c>
      <c r="B66" s="15">
        <v>179.98</v>
      </c>
    </row>
    <row r="67" spans="1:2">
      <c r="A67" s="44" t="s">
        <v>215</v>
      </c>
      <c r="B67" s="15">
        <v>1499.95</v>
      </c>
    </row>
    <row r="68" spans="1:2">
      <c r="A68" s="44" t="s">
        <v>70</v>
      </c>
      <c r="B68" s="15">
        <v>749.95</v>
      </c>
    </row>
    <row r="69" spans="1:2">
      <c r="A69" s="44" t="s">
        <v>285</v>
      </c>
      <c r="B69" s="15">
        <v>749.95</v>
      </c>
    </row>
    <row r="70" spans="1:2">
      <c r="A70" s="44" t="s">
        <v>389</v>
      </c>
      <c r="B70" s="15">
        <v>449.95</v>
      </c>
    </row>
    <row r="71" spans="1:2">
      <c r="A71" s="44" t="s">
        <v>371</v>
      </c>
      <c r="B71" s="15">
        <v>299.98</v>
      </c>
    </row>
    <row r="72" spans="1:2">
      <c r="A72" s="44" t="s">
        <v>205</v>
      </c>
      <c r="B72" s="15">
        <v>299.99</v>
      </c>
    </row>
    <row r="73" spans="1:2">
      <c r="A73" s="44" t="s">
        <v>95</v>
      </c>
      <c r="B73" s="15">
        <v>3499.95</v>
      </c>
    </row>
    <row r="74" spans="1:2">
      <c r="A74" s="44" t="s">
        <v>135</v>
      </c>
      <c r="B74" s="15">
        <v>899.97</v>
      </c>
    </row>
    <row r="75" spans="1:2">
      <c r="A75" s="44" t="s">
        <v>224</v>
      </c>
      <c r="B75" s="15">
        <v>749.95</v>
      </c>
    </row>
    <row r="76" spans="1:2">
      <c r="A76" s="44" t="s">
        <v>54</v>
      </c>
      <c r="B76" s="15">
        <v>179.97</v>
      </c>
    </row>
    <row r="77" spans="1:2">
      <c r="A77" s="44" t="s">
        <v>331</v>
      </c>
      <c r="B77" s="15">
        <v>1249.95</v>
      </c>
    </row>
    <row r="78" spans="1:2">
      <c r="A78" s="43" t="s">
        <v>27</v>
      </c>
      <c r="B78" s="15">
        <v>84657.120000000024</v>
      </c>
    </row>
    <row r="79" spans="1:2">
      <c r="A79" s="44" t="s">
        <v>225</v>
      </c>
      <c r="B79" s="15">
        <v>239.97</v>
      </c>
    </row>
    <row r="80" spans="1:2">
      <c r="A80" s="44" t="s">
        <v>381</v>
      </c>
      <c r="B80" s="15">
        <v>299.98</v>
      </c>
    </row>
    <row r="81" spans="1:2">
      <c r="A81" s="44" t="s">
        <v>116</v>
      </c>
      <c r="B81" s="15">
        <v>449.95</v>
      </c>
    </row>
    <row r="82" spans="1:2">
      <c r="A82" s="44" t="s">
        <v>348</v>
      </c>
      <c r="B82" s="15">
        <v>2799.96</v>
      </c>
    </row>
    <row r="83" spans="1:2">
      <c r="A83" s="44" t="s">
        <v>377</v>
      </c>
      <c r="B83" s="15">
        <v>4499.95</v>
      </c>
    </row>
    <row r="84" spans="1:2">
      <c r="A84" s="44" t="s">
        <v>384</v>
      </c>
      <c r="B84" s="15">
        <v>899.97</v>
      </c>
    </row>
    <row r="85" spans="1:2">
      <c r="A85" s="44" t="s">
        <v>216</v>
      </c>
      <c r="B85" s="15">
        <v>599.96</v>
      </c>
    </row>
    <row r="86" spans="1:2">
      <c r="A86" s="44" t="s">
        <v>23</v>
      </c>
      <c r="B86" s="15">
        <v>749.97</v>
      </c>
    </row>
    <row r="87" spans="1:2">
      <c r="A87" s="44" t="s">
        <v>352</v>
      </c>
      <c r="B87" s="15">
        <v>449.97</v>
      </c>
    </row>
    <row r="88" spans="1:2">
      <c r="A88" s="44" t="s">
        <v>220</v>
      </c>
      <c r="B88" s="15">
        <v>999.95</v>
      </c>
    </row>
    <row r="89" spans="1:2">
      <c r="A89" s="44" t="s">
        <v>134</v>
      </c>
      <c r="B89" s="15">
        <v>899.99</v>
      </c>
    </row>
    <row r="90" spans="1:2">
      <c r="A90" s="44" t="s">
        <v>37</v>
      </c>
      <c r="B90" s="15">
        <v>179.97</v>
      </c>
    </row>
    <row r="91" spans="1:2">
      <c r="A91" s="44" t="s">
        <v>167</v>
      </c>
      <c r="B91" s="15">
        <v>4499.95</v>
      </c>
    </row>
    <row r="92" spans="1:2">
      <c r="A92" s="44" t="s">
        <v>296</v>
      </c>
      <c r="B92" s="15">
        <v>899.97</v>
      </c>
    </row>
    <row r="93" spans="1:2">
      <c r="A93" s="44" t="s">
        <v>365</v>
      </c>
      <c r="B93" s="15">
        <v>699.99</v>
      </c>
    </row>
    <row r="94" spans="1:2">
      <c r="A94" s="44" t="s">
        <v>85</v>
      </c>
      <c r="B94" s="15">
        <v>599.96</v>
      </c>
    </row>
    <row r="95" spans="1:2">
      <c r="A95" s="44" t="s">
        <v>373</v>
      </c>
      <c r="B95" s="15">
        <v>299.95</v>
      </c>
    </row>
    <row r="96" spans="1:2">
      <c r="A96" s="44" t="s">
        <v>264</v>
      </c>
      <c r="B96" s="15">
        <v>1399.98</v>
      </c>
    </row>
    <row r="97" spans="1:2">
      <c r="A97" s="44" t="s">
        <v>323</v>
      </c>
      <c r="B97" s="15">
        <v>179.98</v>
      </c>
    </row>
    <row r="98" spans="1:2">
      <c r="A98" s="44" t="s">
        <v>229</v>
      </c>
      <c r="B98" s="15">
        <v>699.99</v>
      </c>
    </row>
    <row r="99" spans="1:2">
      <c r="A99" s="44" t="s">
        <v>279</v>
      </c>
      <c r="B99" s="15">
        <v>269.97000000000003</v>
      </c>
    </row>
    <row r="100" spans="1:2">
      <c r="A100" s="44" t="s">
        <v>168</v>
      </c>
      <c r="B100" s="15">
        <v>59.99</v>
      </c>
    </row>
    <row r="101" spans="1:2">
      <c r="A101" s="44" t="s">
        <v>367</v>
      </c>
      <c r="B101" s="15">
        <v>449.95</v>
      </c>
    </row>
    <row r="102" spans="1:2">
      <c r="A102" s="44" t="s">
        <v>398</v>
      </c>
      <c r="B102" s="15">
        <v>269.97000000000003</v>
      </c>
    </row>
    <row r="103" spans="1:2">
      <c r="A103" s="44" t="s">
        <v>301</v>
      </c>
      <c r="B103" s="15">
        <v>2799.96</v>
      </c>
    </row>
    <row r="104" spans="1:2">
      <c r="A104" s="44" t="s">
        <v>237</v>
      </c>
      <c r="B104" s="15">
        <v>249.99</v>
      </c>
    </row>
    <row r="105" spans="1:2">
      <c r="A105" s="44" t="s">
        <v>217</v>
      </c>
      <c r="B105" s="15">
        <v>1249.95</v>
      </c>
    </row>
    <row r="106" spans="1:2">
      <c r="A106" s="44" t="s">
        <v>250</v>
      </c>
      <c r="B106" s="15">
        <v>449.95</v>
      </c>
    </row>
    <row r="107" spans="1:2">
      <c r="A107" s="44" t="s">
        <v>173</v>
      </c>
      <c r="B107" s="15">
        <v>79.989999999999995</v>
      </c>
    </row>
    <row r="108" spans="1:2">
      <c r="A108" s="44" t="s">
        <v>204</v>
      </c>
      <c r="B108" s="15">
        <v>499.98</v>
      </c>
    </row>
    <row r="109" spans="1:2">
      <c r="A109" s="44" t="s">
        <v>303</v>
      </c>
      <c r="B109" s="15">
        <v>179.97</v>
      </c>
    </row>
    <row r="110" spans="1:2">
      <c r="A110" s="44" t="s">
        <v>336</v>
      </c>
      <c r="B110" s="15">
        <v>999.96</v>
      </c>
    </row>
    <row r="111" spans="1:2">
      <c r="A111" s="44" t="s">
        <v>164</v>
      </c>
      <c r="B111" s="15">
        <v>449.95</v>
      </c>
    </row>
    <row r="112" spans="1:2">
      <c r="A112" s="44" t="s">
        <v>281</v>
      </c>
      <c r="B112" s="15">
        <v>249.99</v>
      </c>
    </row>
    <row r="113" spans="1:2">
      <c r="A113" s="44" t="s">
        <v>297</v>
      </c>
      <c r="B113" s="15">
        <v>1249.95</v>
      </c>
    </row>
    <row r="114" spans="1:2">
      <c r="A114" s="44" t="s">
        <v>178</v>
      </c>
      <c r="B114" s="15">
        <v>179.98</v>
      </c>
    </row>
    <row r="115" spans="1:2">
      <c r="A115" s="44" t="s">
        <v>218</v>
      </c>
      <c r="B115" s="15">
        <v>749.97</v>
      </c>
    </row>
    <row r="116" spans="1:2">
      <c r="A116" s="44" t="s">
        <v>236</v>
      </c>
      <c r="B116" s="15">
        <v>249.99</v>
      </c>
    </row>
    <row r="117" spans="1:2">
      <c r="A117" s="44" t="s">
        <v>239</v>
      </c>
      <c r="B117" s="15">
        <v>179.97</v>
      </c>
    </row>
    <row r="118" spans="1:2">
      <c r="A118" s="44" t="s">
        <v>176</v>
      </c>
      <c r="B118" s="15">
        <v>3599.96</v>
      </c>
    </row>
    <row r="119" spans="1:2">
      <c r="A119" s="44" t="s">
        <v>243</v>
      </c>
      <c r="B119" s="15">
        <v>899.97</v>
      </c>
    </row>
    <row r="120" spans="1:2">
      <c r="A120" s="44" t="s">
        <v>280</v>
      </c>
      <c r="B120" s="15">
        <v>299.98</v>
      </c>
    </row>
    <row r="121" spans="1:2">
      <c r="A121" s="44" t="s">
        <v>187</v>
      </c>
      <c r="B121" s="15">
        <v>1399.98</v>
      </c>
    </row>
    <row r="122" spans="1:2">
      <c r="A122" s="44" t="s">
        <v>188</v>
      </c>
      <c r="B122" s="15">
        <v>449.95</v>
      </c>
    </row>
    <row r="123" spans="1:2">
      <c r="A123" s="44" t="s">
        <v>165</v>
      </c>
      <c r="B123" s="15">
        <v>179.98</v>
      </c>
    </row>
    <row r="124" spans="1:2">
      <c r="A124" s="44" t="s">
        <v>358</v>
      </c>
      <c r="B124" s="15">
        <v>299.98</v>
      </c>
    </row>
    <row r="125" spans="1:2">
      <c r="A125" s="44" t="s">
        <v>382</v>
      </c>
      <c r="B125" s="15">
        <v>2699.97</v>
      </c>
    </row>
    <row r="126" spans="1:2">
      <c r="A126" s="44" t="s">
        <v>329</v>
      </c>
      <c r="B126" s="15">
        <v>2099.9699999999998</v>
      </c>
    </row>
    <row r="127" spans="1:2">
      <c r="A127" s="44" t="s">
        <v>131</v>
      </c>
      <c r="B127" s="15">
        <v>449.97</v>
      </c>
    </row>
    <row r="128" spans="1:2">
      <c r="A128" s="44" t="s">
        <v>199</v>
      </c>
      <c r="B128" s="15">
        <v>599.97</v>
      </c>
    </row>
    <row r="129" spans="1:2">
      <c r="A129" s="44" t="s">
        <v>298</v>
      </c>
      <c r="B129" s="15">
        <v>299.98</v>
      </c>
    </row>
    <row r="130" spans="1:2">
      <c r="A130" s="44" t="s">
        <v>300</v>
      </c>
      <c r="B130" s="15">
        <v>999.96</v>
      </c>
    </row>
    <row r="131" spans="1:2">
      <c r="A131" s="44" t="s">
        <v>221</v>
      </c>
      <c r="B131" s="15">
        <v>179.98</v>
      </c>
    </row>
    <row r="132" spans="1:2">
      <c r="A132" s="44" t="s">
        <v>191</v>
      </c>
      <c r="B132" s="15">
        <v>299.99</v>
      </c>
    </row>
    <row r="133" spans="1:2">
      <c r="A133" s="44" t="s">
        <v>321</v>
      </c>
      <c r="B133" s="15">
        <v>749.95</v>
      </c>
    </row>
    <row r="134" spans="1:2">
      <c r="A134" s="44" t="s">
        <v>320</v>
      </c>
      <c r="B134" s="15">
        <v>89.99</v>
      </c>
    </row>
    <row r="135" spans="1:2">
      <c r="A135" s="44" t="s">
        <v>344</v>
      </c>
      <c r="B135" s="15">
        <v>999.96</v>
      </c>
    </row>
    <row r="136" spans="1:2">
      <c r="A136" s="44" t="s">
        <v>289</v>
      </c>
      <c r="B136" s="15">
        <v>799.96</v>
      </c>
    </row>
    <row r="137" spans="1:2">
      <c r="A137" s="44" t="s">
        <v>315</v>
      </c>
      <c r="B137" s="15">
        <v>299.98</v>
      </c>
    </row>
    <row r="138" spans="1:2">
      <c r="A138" s="44" t="s">
        <v>350</v>
      </c>
      <c r="B138" s="15">
        <v>269.97000000000003</v>
      </c>
    </row>
    <row r="139" spans="1:2">
      <c r="A139" s="44" t="s">
        <v>275</v>
      </c>
      <c r="B139" s="15">
        <v>3499.95</v>
      </c>
    </row>
    <row r="140" spans="1:2">
      <c r="A140" s="44" t="s">
        <v>230</v>
      </c>
      <c r="B140" s="15">
        <v>449.97</v>
      </c>
    </row>
    <row r="141" spans="1:2">
      <c r="A141" s="44" t="s">
        <v>283</v>
      </c>
      <c r="B141" s="15">
        <v>299.95</v>
      </c>
    </row>
    <row r="142" spans="1:2">
      <c r="A142" s="44" t="s">
        <v>261</v>
      </c>
      <c r="B142" s="15">
        <v>1199.96</v>
      </c>
    </row>
    <row r="143" spans="1:2">
      <c r="A143" s="44" t="s">
        <v>359</v>
      </c>
      <c r="B143" s="15">
        <v>3499.95</v>
      </c>
    </row>
    <row r="144" spans="1:2">
      <c r="A144" s="44" t="s">
        <v>302</v>
      </c>
      <c r="B144" s="15">
        <v>499.98</v>
      </c>
    </row>
    <row r="145" spans="1:2">
      <c r="A145" s="44" t="s">
        <v>368</v>
      </c>
      <c r="B145" s="15">
        <v>399.98</v>
      </c>
    </row>
    <row r="146" spans="1:2">
      <c r="A146" s="44" t="s">
        <v>175</v>
      </c>
      <c r="B146" s="15">
        <v>2099.9699999999998</v>
      </c>
    </row>
    <row r="147" spans="1:2">
      <c r="A147" s="44" t="s">
        <v>64</v>
      </c>
      <c r="B147" s="15">
        <v>179.97</v>
      </c>
    </row>
    <row r="148" spans="1:2">
      <c r="A148" s="44" t="s">
        <v>376</v>
      </c>
      <c r="B148" s="15">
        <v>299.98</v>
      </c>
    </row>
    <row r="149" spans="1:2">
      <c r="A149" s="44" t="s">
        <v>355</v>
      </c>
      <c r="B149" s="15">
        <v>239.97</v>
      </c>
    </row>
    <row r="150" spans="1:2">
      <c r="A150" s="44" t="s">
        <v>347</v>
      </c>
      <c r="B150" s="15">
        <v>1399.98</v>
      </c>
    </row>
    <row r="151" spans="1:2">
      <c r="A151" s="44" t="s">
        <v>366</v>
      </c>
      <c r="B151" s="15">
        <v>599.96</v>
      </c>
    </row>
    <row r="152" spans="1:2">
      <c r="A152" s="44" t="s">
        <v>143</v>
      </c>
      <c r="B152" s="15">
        <v>269.97000000000003</v>
      </c>
    </row>
    <row r="153" spans="1:2">
      <c r="A153" s="44" t="s">
        <v>263</v>
      </c>
      <c r="B153" s="15">
        <v>599.96</v>
      </c>
    </row>
    <row r="154" spans="1:2">
      <c r="A154" s="44" t="s">
        <v>322</v>
      </c>
      <c r="B154" s="15">
        <v>899.99</v>
      </c>
    </row>
    <row r="155" spans="1:2">
      <c r="A155" s="44" t="s">
        <v>244</v>
      </c>
      <c r="B155" s="15">
        <v>179.98</v>
      </c>
    </row>
    <row r="156" spans="1:2">
      <c r="A156" s="44" t="s">
        <v>41</v>
      </c>
      <c r="B156" s="15">
        <v>749.95</v>
      </c>
    </row>
    <row r="157" spans="1:2">
      <c r="A157" s="44" t="s">
        <v>198</v>
      </c>
      <c r="B157" s="15">
        <v>449.97</v>
      </c>
    </row>
    <row r="158" spans="1:2">
      <c r="A158" s="44" t="s">
        <v>208</v>
      </c>
      <c r="B158" s="15">
        <v>1399.98</v>
      </c>
    </row>
    <row r="159" spans="1:2">
      <c r="A159" s="44" t="s">
        <v>160</v>
      </c>
      <c r="B159" s="15">
        <v>299.98</v>
      </c>
    </row>
    <row r="160" spans="1:2">
      <c r="A160" s="44" t="s">
        <v>362</v>
      </c>
      <c r="B160" s="15">
        <v>599.97</v>
      </c>
    </row>
    <row r="161" spans="1:2">
      <c r="A161" s="44" t="s">
        <v>92</v>
      </c>
      <c r="B161" s="15">
        <v>749.97</v>
      </c>
    </row>
    <row r="162" spans="1:2">
      <c r="A162" s="44" t="s">
        <v>310</v>
      </c>
      <c r="B162" s="15">
        <v>599.98</v>
      </c>
    </row>
    <row r="163" spans="1:2">
      <c r="A163" s="44" t="s">
        <v>238</v>
      </c>
      <c r="B163" s="15">
        <v>1399.98</v>
      </c>
    </row>
    <row r="164" spans="1:2">
      <c r="A164" s="44" t="s">
        <v>372</v>
      </c>
      <c r="B164" s="15">
        <v>3499.95</v>
      </c>
    </row>
    <row r="165" spans="1:2">
      <c r="A165" s="44" t="s">
        <v>374</v>
      </c>
      <c r="B165" s="15">
        <v>179.98</v>
      </c>
    </row>
    <row r="166" spans="1:2">
      <c r="A166" s="44" t="s">
        <v>111</v>
      </c>
      <c r="B166" s="15">
        <v>239.97</v>
      </c>
    </row>
    <row r="167" spans="1:2">
      <c r="A167" s="44" t="s">
        <v>327</v>
      </c>
      <c r="B167" s="15">
        <v>749.95</v>
      </c>
    </row>
    <row r="168" spans="1:2">
      <c r="A168" s="44" t="s">
        <v>333</v>
      </c>
      <c r="B168" s="15">
        <v>2099.9699999999998</v>
      </c>
    </row>
    <row r="169" spans="1:2">
      <c r="A169" s="44" t="s">
        <v>104</v>
      </c>
      <c r="B169" s="15">
        <v>1199.96</v>
      </c>
    </row>
    <row r="170" spans="1:2">
      <c r="A170" s="44" t="s">
        <v>137</v>
      </c>
      <c r="B170" s="15">
        <v>599.97</v>
      </c>
    </row>
    <row r="171" spans="1:2">
      <c r="A171" s="44" t="s">
        <v>71</v>
      </c>
      <c r="B171" s="15">
        <v>449.97</v>
      </c>
    </row>
    <row r="172" spans="1:2">
      <c r="A172" s="44" t="s">
        <v>233</v>
      </c>
      <c r="B172" s="15">
        <v>1399.98</v>
      </c>
    </row>
    <row r="173" spans="1:2">
      <c r="A173" s="44" t="s">
        <v>391</v>
      </c>
      <c r="B173" s="15">
        <v>179.98</v>
      </c>
    </row>
    <row r="174" spans="1:2">
      <c r="A174" s="43" t="s">
        <v>36</v>
      </c>
      <c r="B174" s="15">
        <v>82357.540000000037</v>
      </c>
    </row>
    <row r="175" spans="1:2">
      <c r="A175" s="44" t="s">
        <v>202</v>
      </c>
      <c r="B175" s="15">
        <v>119.98</v>
      </c>
    </row>
    <row r="176" spans="1:2">
      <c r="A176" s="44" t="s">
        <v>316</v>
      </c>
      <c r="B176" s="15">
        <v>449.97</v>
      </c>
    </row>
    <row r="177" spans="1:2">
      <c r="A177" s="44" t="s">
        <v>354</v>
      </c>
      <c r="B177" s="15">
        <v>299.95</v>
      </c>
    </row>
    <row r="178" spans="1:2">
      <c r="A178" s="44" t="s">
        <v>140</v>
      </c>
      <c r="B178" s="15">
        <v>3499.95</v>
      </c>
    </row>
    <row r="179" spans="1:2">
      <c r="A179" s="44" t="s">
        <v>278</v>
      </c>
      <c r="B179" s="15">
        <v>899.97</v>
      </c>
    </row>
    <row r="180" spans="1:2">
      <c r="A180" s="44" t="s">
        <v>190</v>
      </c>
      <c r="B180" s="15">
        <v>149.99</v>
      </c>
    </row>
    <row r="181" spans="1:2">
      <c r="A181" s="44" t="s">
        <v>324</v>
      </c>
      <c r="B181" s="15">
        <v>899.99</v>
      </c>
    </row>
    <row r="182" spans="1:2">
      <c r="A182" s="44" t="s">
        <v>125</v>
      </c>
      <c r="B182" s="15">
        <v>999.95</v>
      </c>
    </row>
    <row r="183" spans="1:2">
      <c r="A183" s="44" t="s">
        <v>288</v>
      </c>
      <c r="B183" s="15">
        <v>1399.98</v>
      </c>
    </row>
    <row r="184" spans="1:2">
      <c r="A184" s="44" t="s">
        <v>306</v>
      </c>
      <c r="B184" s="15">
        <v>319.95999999999998</v>
      </c>
    </row>
    <row r="185" spans="1:2">
      <c r="A185" s="44" t="s">
        <v>228</v>
      </c>
      <c r="B185" s="15">
        <v>499.98</v>
      </c>
    </row>
    <row r="186" spans="1:2">
      <c r="A186" s="44" t="s">
        <v>379</v>
      </c>
      <c r="B186" s="15">
        <v>249.99</v>
      </c>
    </row>
    <row r="187" spans="1:2">
      <c r="A187" s="44" t="s">
        <v>146</v>
      </c>
      <c r="B187" s="15">
        <v>79.989999999999995</v>
      </c>
    </row>
    <row r="188" spans="1:2">
      <c r="A188" s="44" t="s">
        <v>385</v>
      </c>
      <c r="B188" s="15">
        <v>599.96</v>
      </c>
    </row>
    <row r="189" spans="1:2">
      <c r="A189" s="44" t="s">
        <v>180</v>
      </c>
      <c r="B189" s="15">
        <v>89.99</v>
      </c>
    </row>
    <row r="190" spans="1:2">
      <c r="A190" s="44" t="s">
        <v>277</v>
      </c>
      <c r="B190" s="15">
        <v>1249.95</v>
      </c>
    </row>
    <row r="191" spans="1:2">
      <c r="A191" s="44" t="s">
        <v>119</v>
      </c>
      <c r="B191" s="15">
        <v>119.98</v>
      </c>
    </row>
    <row r="192" spans="1:2">
      <c r="A192" s="44" t="s">
        <v>74</v>
      </c>
      <c r="B192" s="15">
        <v>179.97</v>
      </c>
    </row>
    <row r="193" spans="1:2">
      <c r="A193" s="44" t="s">
        <v>392</v>
      </c>
      <c r="B193" s="15">
        <v>1399.98</v>
      </c>
    </row>
    <row r="194" spans="1:2">
      <c r="A194" s="44" t="s">
        <v>107</v>
      </c>
      <c r="B194" s="15">
        <v>1249.95</v>
      </c>
    </row>
    <row r="195" spans="1:2">
      <c r="A195" s="44" t="s">
        <v>341</v>
      </c>
      <c r="B195" s="15">
        <v>449.97</v>
      </c>
    </row>
    <row r="196" spans="1:2">
      <c r="A196" s="44" t="s">
        <v>284</v>
      </c>
      <c r="B196" s="15">
        <v>999.96</v>
      </c>
    </row>
    <row r="197" spans="1:2">
      <c r="A197" s="44" t="s">
        <v>309</v>
      </c>
      <c r="B197" s="15">
        <v>149.99</v>
      </c>
    </row>
    <row r="198" spans="1:2">
      <c r="A198" s="44" t="s">
        <v>363</v>
      </c>
      <c r="B198" s="15">
        <v>1499.95</v>
      </c>
    </row>
    <row r="199" spans="1:2">
      <c r="A199" s="44" t="s">
        <v>332</v>
      </c>
      <c r="B199" s="15">
        <v>599.96</v>
      </c>
    </row>
    <row r="200" spans="1:2">
      <c r="A200" s="44" t="s">
        <v>266</v>
      </c>
      <c r="B200" s="15">
        <v>899.97</v>
      </c>
    </row>
    <row r="201" spans="1:2">
      <c r="A201" s="44" t="s">
        <v>328</v>
      </c>
      <c r="B201" s="15">
        <v>899.97</v>
      </c>
    </row>
    <row r="202" spans="1:2">
      <c r="A202" s="44" t="s">
        <v>47</v>
      </c>
      <c r="B202" s="15">
        <v>119.98</v>
      </c>
    </row>
    <row r="203" spans="1:2">
      <c r="A203" s="44" t="s">
        <v>161</v>
      </c>
      <c r="B203" s="15">
        <v>239.96</v>
      </c>
    </row>
    <row r="204" spans="1:2">
      <c r="A204" s="44" t="s">
        <v>214</v>
      </c>
      <c r="B204" s="15">
        <v>89.99</v>
      </c>
    </row>
    <row r="205" spans="1:2">
      <c r="A205" s="44" t="s">
        <v>339</v>
      </c>
      <c r="B205" s="15">
        <v>799.96</v>
      </c>
    </row>
    <row r="206" spans="1:2">
      <c r="A206" s="44" t="s">
        <v>337</v>
      </c>
      <c r="B206" s="15">
        <v>299.98</v>
      </c>
    </row>
    <row r="207" spans="1:2">
      <c r="A207" s="44" t="s">
        <v>251</v>
      </c>
      <c r="B207" s="15">
        <v>149.99</v>
      </c>
    </row>
    <row r="208" spans="1:2">
      <c r="A208" s="44" t="s">
        <v>157</v>
      </c>
      <c r="B208" s="15">
        <v>89.99</v>
      </c>
    </row>
    <row r="209" spans="1:2">
      <c r="A209" s="44" t="s">
        <v>91</v>
      </c>
      <c r="B209" s="15">
        <v>3599.96</v>
      </c>
    </row>
    <row r="210" spans="1:2">
      <c r="A210" s="44" t="s">
        <v>343</v>
      </c>
      <c r="B210" s="15">
        <v>239.96</v>
      </c>
    </row>
    <row r="211" spans="1:2">
      <c r="A211" s="44" t="s">
        <v>258</v>
      </c>
      <c r="B211" s="15">
        <v>199.99</v>
      </c>
    </row>
    <row r="212" spans="1:2">
      <c r="A212" s="44" t="s">
        <v>58</v>
      </c>
      <c r="B212" s="15">
        <v>2699.97</v>
      </c>
    </row>
    <row r="213" spans="1:2">
      <c r="A213" s="44" t="s">
        <v>189</v>
      </c>
      <c r="B213" s="15">
        <v>239.96</v>
      </c>
    </row>
    <row r="214" spans="1:2">
      <c r="A214" s="44" t="s">
        <v>67</v>
      </c>
      <c r="B214" s="15">
        <v>149.99</v>
      </c>
    </row>
    <row r="215" spans="1:2">
      <c r="A215" s="44" t="s">
        <v>28</v>
      </c>
      <c r="B215" s="15">
        <v>179.97</v>
      </c>
    </row>
    <row r="216" spans="1:2">
      <c r="A216" s="44" t="s">
        <v>240</v>
      </c>
      <c r="B216" s="15">
        <v>179.97</v>
      </c>
    </row>
    <row r="217" spans="1:2">
      <c r="A217" s="44" t="s">
        <v>393</v>
      </c>
      <c r="B217" s="15">
        <v>2699.97</v>
      </c>
    </row>
    <row r="218" spans="1:2">
      <c r="A218" s="44" t="s">
        <v>290</v>
      </c>
      <c r="B218" s="15">
        <v>59.99</v>
      </c>
    </row>
    <row r="219" spans="1:2">
      <c r="A219" s="44" t="s">
        <v>291</v>
      </c>
      <c r="B219" s="15">
        <v>2099.9699999999998</v>
      </c>
    </row>
    <row r="220" spans="1:2">
      <c r="A220" s="44" t="s">
        <v>286</v>
      </c>
      <c r="B220" s="15">
        <v>179.97</v>
      </c>
    </row>
    <row r="221" spans="1:2">
      <c r="A221" s="44" t="s">
        <v>169</v>
      </c>
      <c r="B221" s="15">
        <v>599.98</v>
      </c>
    </row>
    <row r="222" spans="1:2">
      <c r="A222" s="44" t="s">
        <v>276</v>
      </c>
      <c r="B222" s="15">
        <v>269.97000000000003</v>
      </c>
    </row>
    <row r="223" spans="1:2">
      <c r="A223" s="44" t="s">
        <v>166</v>
      </c>
      <c r="B223" s="15">
        <v>4499.95</v>
      </c>
    </row>
    <row r="224" spans="1:2">
      <c r="A224" s="44" t="s">
        <v>200</v>
      </c>
      <c r="B224" s="15">
        <v>899.99</v>
      </c>
    </row>
    <row r="225" spans="1:2">
      <c r="A225" s="44" t="s">
        <v>313</v>
      </c>
      <c r="B225" s="15">
        <v>4499.95</v>
      </c>
    </row>
    <row r="226" spans="1:2">
      <c r="A226" s="44" t="s">
        <v>360</v>
      </c>
      <c r="B226" s="15">
        <v>449.97</v>
      </c>
    </row>
    <row r="227" spans="1:2">
      <c r="A227" s="44" t="s">
        <v>268</v>
      </c>
      <c r="B227" s="15">
        <v>3499.95</v>
      </c>
    </row>
    <row r="228" spans="1:2">
      <c r="A228" s="44" t="s">
        <v>375</v>
      </c>
      <c r="B228" s="15">
        <v>1249.95</v>
      </c>
    </row>
    <row r="229" spans="1:2">
      <c r="A229" s="44" t="s">
        <v>213</v>
      </c>
      <c r="B229" s="15">
        <v>299.98</v>
      </c>
    </row>
    <row r="230" spans="1:2">
      <c r="A230" s="44" t="s">
        <v>255</v>
      </c>
      <c r="B230" s="15">
        <v>2699.97</v>
      </c>
    </row>
    <row r="231" spans="1:2">
      <c r="A231" s="44" t="s">
        <v>346</v>
      </c>
      <c r="B231" s="15">
        <v>899.97</v>
      </c>
    </row>
    <row r="232" spans="1:2">
      <c r="A232" s="44" t="s">
        <v>312</v>
      </c>
      <c r="B232" s="15">
        <v>89.99</v>
      </c>
    </row>
    <row r="233" spans="1:2">
      <c r="A233" s="44" t="s">
        <v>270</v>
      </c>
      <c r="B233" s="15">
        <v>899.99</v>
      </c>
    </row>
    <row r="234" spans="1:2">
      <c r="A234" s="44" t="s">
        <v>179</v>
      </c>
      <c r="B234" s="15">
        <v>89.99</v>
      </c>
    </row>
    <row r="235" spans="1:2">
      <c r="A235" s="44" t="s">
        <v>51</v>
      </c>
      <c r="B235" s="15">
        <v>749.95</v>
      </c>
    </row>
    <row r="236" spans="1:2">
      <c r="A236" s="44" t="s">
        <v>390</v>
      </c>
      <c r="B236" s="15">
        <v>449.97</v>
      </c>
    </row>
    <row r="237" spans="1:2">
      <c r="A237" s="44" t="s">
        <v>307</v>
      </c>
      <c r="B237" s="15">
        <v>239.97</v>
      </c>
    </row>
    <row r="238" spans="1:2">
      <c r="A238" s="44" t="s">
        <v>378</v>
      </c>
      <c r="B238" s="15">
        <v>599.96</v>
      </c>
    </row>
    <row r="239" spans="1:2">
      <c r="A239" s="44" t="s">
        <v>299</v>
      </c>
      <c r="B239" s="15">
        <v>3499.95</v>
      </c>
    </row>
    <row r="240" spans="1:2">
      <c r="A240" s="44" t="s">
        <v>101</v>
      </c>
      <c r="B240" s="15">
        <v>999.96</v>
      </c>
    </row>
    <row r="241" spans="1:2">
      <c r="A241" s="44" t="s">
        <v>295</v>
      </c>
      <c r="B241" s="15">
        <v>299.98</v>
      </c>
    </row>
    <row r="242" spans="1:2">
      <c r="A242" s="44" t="s">
        <v>153</v>
      </c>
      <c r="B242" s="15">
        <v>449.95</v>
      </c>
    </row>
    <row r="243" spans="1:2">
      <c r="A243" s="44" t="s">
        <v>361</v>
      </c>
      <c r="B243" s="15">
        <v>2699.97</v>
      </c>
    </row>
    <row r="244" spans="1:2">
      <c r="A244" s="44" t="s">
        <v>203</v>
      </c>
      <c r="B244" s="15">
        <v>999.96</v>
      </c>
    </row>
    <row r="245" spans="1:2">
      <c r="A245" s="44" t="s">
        <v>265</v>
      </c>
      <c r="B245" s="15">
        <v>449.97</v>
      </c>
    </row>
    <row r="246" spans="1:2">
      <c r="A246" s="44" t="s">
        <v>351</v>
      </c>
      <c r="B246" s="15">
        <v>59.99</v>
      </c>
    </row>
    <row r="247" spans="1:2">
      <c r="A247" s="44" t="s">
        <v>330</v>
      </c>
      <c r="B247" s="15">
        <v>999.95</v>
      </c>
    </row>
    <row r="248" spans="1:2">
      <c r="A248" s="44" t="s">
        <v>369</v>
      </c>
      <c r="B248" s="15">
        <v>239.96</v>
      </c>
    </row>
    <row r="249" spans="1:2">
      <c r="A249" s="44" t="s">
        <v>82</v>
      </c>
      <c r="B249" s="15">
        <v>899.99</v>
      </c>
    </row>
    <row r="250" spans="1:2">
      <c r="A250" s="44" t="s">
        <v>156</v>
      </c>
      <c r="B250" s="15">
        <v>1249.95</v>
      </c>
    </row>
    <row r="251" spans="1:2">
      <c r="A251" s="44" t="s">
        <v>98</v>
      </c>
      <c r="B251" s="15">
        <v>2799.96</v>
      </c>
    </row>
    <row r="252" spans="1:2">
      <c r="A252" s="44" t="s">
        <v>122</v>
      </c>
      <c r="B252" s="15">
        <v>239.96</v>
      </c>
    </row>
    <row r="253" spans="1:2">
      <c r="A253" s="44" t="s">
        <v>201</v>
      </c>
      <c r="B253" s="15">
        <v>4499.95</v>
      </c>
    </row>
    <row r="254" spans="1:2">
      <c r="A254" s="44" t="s">
        <v>219</v>
      </c>
      <c r="B254" s="15">
        <v>799.96</v>
      </c>
    </row>
    <row r="255" spans="1:2">
      <c r="A255" s="44" t="s">
        <v>209</v>
      </c>
      <c r="B255" s="15">
        <v>3599.96</v>
      </c>
    </row>
    <row r="256" spans="1:2">
      <c r="A256" s="43" t="s">
        <v>484</v>
      </c>
      <c r="B256" s="15">
        <v>229192.47000000018</v>
      </c>
    </row>
  </sheetData>
  <pageMargins left="0.7" right="0.7" top="0.75" bottom="0.75" header="0.3" footer="0.3"/>
  <drawing r:id="rId6"/>
  <extLst>
    <ext xmlns:x14="http://schemas.microsoft.com/office/spreadsheetml/2009/9/main" uri="{A8765BA9-456A-4dab-B4F3-ACF838C121DE}">
      <x14:slicerList>
        <x14:slicer r:id="rId7"/>
      </x14:slicerList>
    </ext>
    <ext xmlns:x15="http://schemas.microsoft.com/office/spreadsheetml/2010/11/main" uri="{7E03D99C-DC04-49d9-9315-930204A7B6E9}">
      <x15:timelineRefs>
        <x15:timelineRef r:id="rId8"/>
      </x15:timelineRef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F4AD98-A660-42E4-9E2E-AC950BACFA4C}">
  <dimension ref="A1:I19"/>
  <sheetViews>
    <sheetView workbookViewId="0">
      <selection activeCell="A12" sqref="A12"/>
    </sheetView>
  </sheetViews>
  <sheetFormatPr defaultRowHeight="14"/>
  <cols>
    <col min="1" max="1" width="20.1796875" bestFit="1" customWidth="1"/>
    <col min="2" max="2" width="12.6328125" bestFit="1" customWidth="1"/>
    <col min="3" max="3" width="14.1796875" bestFit="1" customWidth="1"/>
    <col min="5" max="5" width="12.36328125" bestFit="1" customWidth="1"/>
    <col min="6" max="6" width="13.81640625" bestFit="1" customWidth="1"/>
    <col min="7" max="7" width="12" bestFit="1" customWidth="1"/>
    <col min="8" max="8" width="12.6328125" bestFit="1" customWidth="1"/>
    <col min="9" max="9" width="16.453125" customWidth="1"/>
  </cols>
  <sheetData>
    <row r="1" spans="1:9">
      <c r="A1" t="s">
        <v>435</v>
      </c>
    </row>
    <row r="2" spans="1:9" ht="14.5" thickBot="1"/>
    <row r="3" spans="1:9">
      <c r="A3" s="46" t="s">
        <v>436</v>
      </c>
      <c r="B3" s="46"/>
    </row>
    <row r="4" spans="1:9">
      <c r="A4" t="s">
        <v>437</v>
      </c>
      <c r="B4">
        <v>0.92884475314278125</v>
      </c>
    </row>
    <row r="5" spans="1:9">
      <c r="A5" t="s">
        <v>438</v>
      </c>
      <c r="B5">
        <v>0.86275257544087425</v>
      </c>
    </row>
    <row r="6" spans="1:9">
      <c r="A6" t="s">
        <v>439</v>
      </c>
      <c r="B6">
        <v>0.86164126026225785</v>
      </c>
    </row>
    <row r="7" spans="1:9">
      <c r="A7" t="s">
        <v>440</v>
      </c>
      <c r="B7">
        <v>384.0374977385618</v>
      </c>
    </row>
    <row r="8" spans="1:9" ht="14.5" thickBot="1">
      <c r="A8" s="30" t="s">
        <v>441</v>
      </c>
      <c r="B8" s="30">
        <v>250</v>
      </c>
    </row>
    <row r="10" spans="1:9" ht="14.5" thickBot="1">
      <c r="A10" t="s">
        <v>442</v>
      </c>
    </row>
    <row r="11" spans="1:9">
      <c r="A11" s="45"/>
      <c r="B11" s="45" t="s">
        <v>447</v>
      </c>
      <c r="C11" s="45" t="s">
        <v>448</v>
      </c>
      <c r="D11" s="45" t="s">
        <v>449</v>
      </c>
      <c r="E11" s="45" t="s">
        <v>450</v>
      </c>
      <c r="F11" s="45" t="s">
        <v>451</v>
      </c>
    </row>
    <row r="12" spans="1:9">
      <c r="A12" t="s">
        <v>443</v>
      </c>
      <c r="B12">
        <v>2</v>
      </c>
      <c r="C12">
        <v>228995145.93418038</v>
      </c>
      <c r="D12">
        <v>114497572.96709019</v>
      </c>
      <c r="E12">
        <v>776.33473567328497</v>
      </c>
      <c r="F12">
        <v>3.0322789780406021E-107</v>
      </c>
    </row>
    <row r="13" spans="1:9">
      <c r="A13" t="s">
        <v>444</v>
      </c>
      <c r="B13">
        <v>247</v>
      </c>
      <c r="C13">
        <v>36428745.518316083</v>
      </c>
      <c r="D13">
        <v>147484.79966929587</v>
      </c>
    </row>
    <row r="14" spans="1:9" ht="14.5" thickBot="1">
      <c r="A14" s="30" t="s">
        <v>445</v>
      </c>
      <c r="B14" s="30">
        <v>249</v>
      </c>
      <c r="C14" s="30">
        <v>265423891.45249647</v>
      </c>
      <c r="D14" s="30"/>
      <c r="E14" s="30"/>
      <c r="F14" s="30"/>
    </row>
    <row r="15" spans="1:9" ht="14.5" thickBot="1"/>
    <row r="16" spans="1:9">
      <c r="A16" s="45"/>
      <c r="B16" s="45" t="s">
        <v>452</v>
      </c>
      <c r="C16" s="45" t="s">
        <v>440</v>
      </c>
      <c r="D16" s="45" t="s">
        <v>453</v>
      </c>
      <c r="E16" s="45" t="s">
        <v>454</v>
      </c>
      <c r="F16" s="45" t="s">
        <v>455</v>
      </c>
      <c r="G16" s="45" t="s">
        <v>456</v>
      </c>
      <c r="H16" s="45" t="s">
        <v>457</v>
      </c>
      <c r="I16" s="45" t="s">
        <v>458</v>
      </c>
    </row>
    <row r="17" spans="1:9">
      <c r="A17" t="s">
        <v>446</v>
      </c>
      <c r="B17">
        <v>-931.80858592721211</v>
      </c>
      <c r="C17">
        <v>64.176586128214524</v>
      </c>
      <c r="D17">
        <v>-14.519447701153938</v>
      </c>
      <c r="E17">
        <v>5.9491879084023646E-35</v>
      </c>
      <c r="F17">
        <v>-1058.211736902633</v>
      </c>
      <c r="G17">
        <v>-805.40543495179111</v>
      </c>
      <c r="H17">
        <v>-1058.211736902633</v>
      </c>
      <c r="I17">
        <v>-805.40543495179111</v>
      </c>
    </row>
    <row r="18" spans="1:9">
      <c r="A18" t="s">
        <v>7</v>
      </c>
      <c r="B18">
        <v>314.1458836929956</v>
      </c>
      <c r="C18">
        <v>18.242562242139332</v>
      </c>
      <c r="D18">
        <v>17.220491262314873</v>
      </c>
      <c r="E18">
        <v>3.4020507945743832E-44</v>
      </c>
      <c r="F18">
        <v>278.21506392852888</v>
      </c>
      <c r="G18">
        <v>350.07670345746232</v>
      </c>
      <c r="H18">
        <v>278.21506392852888</v>
      </c>
      <c r="I18">
        <v>350.07670345746232</v>
      </c>
    </row>
    <row r="19" spans="1:9" ht="14.5" thickBot="1">
      <c r="A19" s="30" t="s">
        <v>8</v>
      </c>
      <c r="B19" s="30">
        <v>3.0416660405295799</v>
      </c>
      <c r="C19" s="30">
        <v>8.8733343256966732E-2</v>
      </c>
      <c r="D19" s="30">
        <v>34.278726901127655</v>
      </c>
      <c r="E19" s="30">
        <v>7.2446245379651108E-96</v>
      </c>
      <c r="F19" s="30">
        <v>2.8668955383739165</v>
      </c>
      <c r="G19" s="30">
        <v>3.2164365426852433</v>
      </c>
      <c r="H19" s="30">
        <v>2.8668955383739165</v>
      </c>
      <c r="I19" s="30">
        <v>3.2164365426852433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11961B-1716-4A28-B42D-BFBDBABDBF03}">
  <dimension ref="A1:D17"/>
  <sheetViews>
    <sheetView workbookViewId="0">
      <selection activeCell="A6" sqref="A6"/>
    </sheetView>
  </sheetViews>
  <sheetFormatPr defaultRowHeight="14"/>
  <cols>
    <col min="1" max="1" width="17.1796875" customWidth="1"/>
    <col min="2" max="2" width="16.90625" customWidth="1"/>
    <col min="3" max="3" width="19.6328125" customWidth="1"/>
    <col min="4" max="4" width="19" customWidth="1"/>
  </cols>
  <sheetData>
    <row r="1" spans="1:4">
      <c r="A1" s="41" t="s">
        <v>468</v>
      </c>
      <c r="B1" s="41" t="s">
        <v>472</v>
      </c>
      <c r="C1" s="23" t="s">
        <v>474</v>
      </c>
      <c r="D1" s="23" t="s">
        <v>475</v>
      </c>
    </row>
    <row r="2" spans="1:4">
      <c r="A2" s="4" t="s">
        <v>62</v>
      </c>
      <c r="B2" s="4" t="s">
        <v>469</v>
      </c>
      <c r="C2" t="str">
        <f>IF(COUNTIF($B$2:$B$7,A2)&gt;0,"Common","Not Found")</f>
        <v>Not Found</v>
      </c>
      <c r="D2" t="str">
        <f>IF(COUNTIF($A$2:$A$7,B2)&gt;0,"Common","Not Found")</f>
        <v>Common</v>
      </c>
    </row>
    <row r="3" spans="1:4">
      <c r="A3" s="4" t="s">
        <v>469</v>
      </c>
      <c r="B3" s="4" t="s">
        <v>118</v>
      </c>
      <c r="C3" t="str">
        <f>IF(COUNTIF($B$2:$B$7,A3)&gt;0,"Common","Not Found")</f>
        <v>Common</v>
      </c>
      <c r="D3" t="str">
        <f t="shared" ref="D3:D7" si="0">IF(COUNTIF($A$2:$A$7,B3)&gt;0,"Common","Not Found")</f>
        <v>Common</v>
      </c>
    </row>
    <row r="4" spans="1:4">
      <c r="A4" s="4" t="s">
        <v>118</v>
      </c>
      <c r="B4" s="4" t="s">
        <v>53</v>
      </c>
      <c r="C4" t="str">
        <f t="shared" ref="C4:C7" si="1">IF(COUNTIF($B$2:$B$7,A4)&gt;0,"Common","Not Found")</f>
        <v>Common</v>
      </c>
      <c r="D4" t="str">
        <f t="shared" si="0"/>
        <v>Not Found</v>
      </c>
    </row>
    <row r="5" spans="1:4">
      <c r="A5" s="4" t="s">
        <v>470</v>
      </c>
      <c r="B5" s="4" t="s">
        <v>470</v>
      </c>
      <c r="C5" t="str">
        <f t="shared" si="1"/>
        <v>Common</v>
      </c>
      <c r="D5" t="str">
        <f t="shared" si="0"/>
        <v>Common</v>
      </c>
    </row>
    <row r="6" spans="1:4">
      <c r="A6" s="4" t="s">
        <v>18</v>
      </c>
      <c r="B6" s="4" t="s">
        <v>473</v>
      </c>
      <c r="C6" t="str">
        <f t="shared" si="1"/>
        <v>Not Found</v>
      </c>
      <c r="D6" t="str">
        <f t="shared" si="0"/>
        <v>Not Found</v>
      </c>
    </row>
    <row r="7" spans="1:4">
      <c r="A7" s="4" t="s">
        <v>471</v>
      </c>
      <c r="B7" s="4" t="s">
        <v>471</v>
      </c>
      <c r="C7" t="str">
        <f t="shared" si="1"/>
        <v>Common</v>
      </c>
      <c r="D7" t="str">
        <f t="shared" si="0"/>
        <v>Common</v>
      </c>
    </row>
    <row r="9" spans="1:4" ht="17.5">
      <c r="A9" s="93" t="s">
        <v>476</v>
      </c>
      <c r="B9" s="93"/>
    </row>
    <row r="10" spans="1:4">
      <c r="A10" s="23" t="s">
        <v>477</v>
      </c>
      <c r="B10" s="23" t="s">
        <v>478</v>
      </c>
    </row>
    <row r="11" spans="1:4">
      <c r="A11" s="4" t="s">
        <v>479</v>
      </c>
      <c r="B11" s="4" t="str">
        <f>LEFT(A11,1)&amp;MID(A11,FIND(" ",A11)+1,1)</f>
        <v>HA</v>
      </c>
    </row>
    <row r="12" spans="1:4">
      <c r="A12" s="4" t="s">
        <v>480</v>
      </c>
      <c r="B12" s="4" t="str">
        <f t="shared" ref="B12:B15" si="2">LEFT(A12,1)&amp;MID(A12,FIND(" ",A12)+1,1)</f>
        <v>PC</v>
      </c>
    </row>
    <row r="13" spans="1:4">
      <c r="A13" s="4" t="s">
        <v>481</v>
      </c>
      <c r="B13" s="4" t="str">
        <f t="shared" si="2"/>
        <v>OS</v>
      </c>
    </row>
    <row r="14" spans="1:4">
      <c r="A14" s="4" t="s">
        <v>482</v>
      </c>
      <c r="B14" s="4" t="str">
        <f t="shared" si="2"/>
        <v>SE</v>
      </c>
    </row>
    <row r="15" spans="1:4">
      <c r="A15" s="4" t="s">
        <v>483</v>
      </c>
      <c r="B15" s="4" t="str">
        <f t="shared" si="2"/>
        <v>MA</v>
      </c>
    </row>
    <row r="16" spans="1:4">
      <c r="A16" s="4"/>
      <c r="B16" s="4"/>
    </row>
    <row r="17" spans="1:1">
      <c r="A17" s="4"/>
    </row>
  </sheetData>
  <mergeCells count="1">
    <mergeCell ref="A9:B9"/>
  </mergeCells>
  <pageMargins left="0.7" right="0.7" top="0.75" bottom="0.75" header="0.3" footer="0.3"/>
  <tableParts count="2">
    <tablePart r:id="rId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E86D9E-2D5B-4FCD-87C7-CFD8CED6B4C9}">
  <sheetPr>
    <outlinePr summaryBelow="0"/>
  </sheetPr>
  <dimension ref="B1:G14"/>
  <sheetViews>
    <sheetView showGridLines="0" tabSelected="1" workbookViewId="0">
      <selection activeCell="F7" sqref="F7"/>
    </sheetView>
  </sheetViews>
  <sheetFormatPr defaultRowHeight="14" outlineLevelRow="1" outlineLevelCol="1"/>
  <cols>
    <col min="3" max="3" width="7.453125" bestFit="1" customWidth="1"/>
    <col min="4" max="7" width="12.90625" bestFit="1" customWidth="1" outlineLevel="1"/>
  </cols>
  <sheetData>
    <row r="1" spans="2:7" ht="14.5" thickBot="1"/>
    <row r="2" spans="2:7" ht="15">
      <c r="B2" s="32" t="s">
        <v>421</v>
      </c>
      <c r="C2" s="32"/>
      <c r="D2" s="37"/>
      <c r="E2" s="37"/>
      <c r="F2" s="37"/>
      <c r="G2" s="37"/>
    </row>
    <row r="3" spans="2:7" ht="15" collapsed="1">
      <c r="B3" s="31"/>
      <c r="C3" s="31"/>
      <c r="D3" s="38" t="s">
        <v>423</v>
      </c>
      <c r="E3" s="38" t="s">
        <v>418</v>
      </c>
      <c r="F3" s="38" t="s">
        <v>419</v>
      </c>
      <c r="G3" s="38" t="s">
        <v>420</v>
      </c>
    </row>
    <row r="4" spans="2:7" ht="42" hidden="1" outlineLevel="1">
      <c r="B4" s="34"/>
      <c r="C4" s="34"/>
      <c r="E4" s="40" t="s">
        <v>433</v>
      </c>
      <c r="F4" s="40" t="s">
        <v>433</v>
      </c>
      <c r="G4" s="40" t="s">
        <v>433</v>
      </c>
    </row>
    <row r="5" spans="2:7">
      <c r="B5" s="35" t="s">
        <v>422</v>
      </c>
      <c r="C5" s="35"/>
      <c r="D5" s="33"/>
      <c r="E5" s="33"/>
      <c r="F5" s="33"/>
      <c r="G5" s="33"/>
    </row>
    <row r="6" spans="2:7" outlineLevel="1">
      <c r="B6" s="34"/>
      <c r="C6" s="34" t="s">
        <v>429</v>
      </c>
      <c r="D6">
        <v>150</v>
      </c>
      <c r="E6">
        <v>150</v>
      </c>
      <c r="F6" s="39">
        <v>150</v>
      </c>
      <c r="G6">
        <v>150</v>
      </c>
    </row>
    <row r="7" spans="2:7" outlineLevel="1">
      <c r="B7" s="34"/>
      <c r="C7" s="34" t="s">
        <v>430</v>
      </c>
      <c r="D7">
        <v>120</v>
      </c>
      <c r="E7">
        <v>120</v>
      </c>
      <c r="F7" s="39">
        <v>120</v>
      </c>
      <c r="G7">
        <v>120</v>
      </c>
    </row>
    <row r="8" spans="2:7" outlineLevel="1">
      <c r="B8" s="34"/>
      <c r="C8" s="34" t="s">
        <v>431</v>
      </c>
      <c r="D8">
        <v>70</v>
      </c>
      <c r="E8">
        <v>70</v>
      </c>
      <c r="F8">
        <v>70</v>
      </c>
      <c r="G8" s="39">
        <v>70</v>
      </c>
    </row>
    <row r="9" spans="2:7" outlineLevel="1">
      <c r="B9" s="34"/>
      <c r="C9" s="34" t="s">
        <v>432</v>
      </c>
      <c r="D9">
        <v>90</v>
      </c>
      <c r="E9">
        <v>90</v>
      </c>
      <c r="F9">
        <v>90</v>
      </c>
      <c r="G9" s="39">
        <v>90</v>
      </c>
    </row>
    <row r="10" spans="2:7">
      <c r="B10" s="35" t="s">
        <v>424</v>
      </c>
      <c r="C10" s="35"/>
      <c r="D10" s="33"/>
      <c r="E10" s="33"/>
      <c r="F10" s="33"/>
      <c r="G10" s="33"/>
    </row>
    <row r="11" spans="2:7" ht="14.5" outlineLevel="1" thickBot="1">
      <c r="B11" s="36"/>
      <c r="C11" s="36" t="s">
        <v>417</v>
      </c>
      <c r="D11" s="30"/>
      <c r="E11" s="30"/>
      <c r="F11" s="30"/>
      <c r="G11" s="30"/>
    </row>
    <row r="12" spans="2:7">
      <c r="B12" t="s">
        <v>425</v>
      </c>
    </row>
    <row r="13" spans="2:7">
      <c r="B13" t="s">
        <v>426</v>
      </c>
    </row>
    <row r="14" spans="2:7">
      <c r="B14" t="s">
        <v>427</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02249A-ADEC-459F-BBCA-2867A5362B13}">
  <dimension ref="A1:U18"/>
  <sheetViews>
    <sheetView showGridLines="0" zoomScale="51" workbookViewId="0">
      <selection activeCell="C18" sqref="C18"/>
    </sheetView>
  </sheetViews>
  <sheetFormatPr defaultRowHeight="14" outlineLevelRow="1"/>
  <cols>
    <col min="1" max="1" width="51" customWidth="1"/>
    <col min="3" max="3" width="19.08984375" customWidth="1"/>
    <col min="8" max="10" width="8.90625" customWidth="1"/>
    <col min="18" max="18" width="16.453125" customWidth="1"/>
  </cols>
  <sheetData>
    <row r="1" spans="1:21" ht="13.75" customHeight="1">
      <c r="A1" s="94" t="s">
        <v>501</v>
      </c>
      <c r="B1" s="94"/>
      <c r="C1" s="94"/>
      <c r="D1" s="94"/>
      <c r="E1" s="94"/>
      <c r="F1" s="94"/>
      <c r="G1" s="94"/>
      <c r="H1" s="94"/>
      <c r="I1" s="94"/>
      <c r="J1" s="94"/>
      <c r="K1" s="94"/>
      <c r="L1" s="94"/>
      <c r="M1" s="94"/>
      <c r="N1" s="94"/>
      <c r="O1" s="94"/>
      <c r="P1" s="94"/>
      <c r="Q1" s="94"/>
      <c r="R1" s="94"/>
      <c r="S1" s="94"/>
      <c r="T1" s="94"/>
      <c r="U1" s="94"/>
    </row>
    <row r="2" spans="1:21" ht="13.75" customHeight="1">
      <c r="A2" s="94"/>
      <c r="B2" s="94"/>
      <c r="C2" s="94"/>
      <c r="D2" s="94"/>
      <c r="E2" s="94"/>
      <c r="F2" s="94"/>
      <c r="G2" s="94"/>
      <c r="H2" s="94"/>
      <c r="I2" s="94"/>
      <c r="J2" s="94"/>
      <c r="K2" s="94"/>
      <c r="L2" s="94"/>
      <c r="M2" s="94"/>
      <c r="N2" s="94"/>
      <c r="O2" s="94"/>
      <c r="P2" s="94"/>
      <c r="Q2" s="94"/>
      <c r="R2" s="94"/>
      <c r="S2" s="94"/>
      <c r="T2" s="94"/>
      <c r="U2" s="94"/>
    </row>
    <row r="3" spans="1:21" ht="13.75" customHeight="1">
      <c r="A3" s="94"/>
      <c r="B3" s="94"/>
      <c r="C3" s="94"/>
      <c r="D3" s="94"/>
      <c r="E3" s="94"/>
      <c r="F3" s="94"/>
      <c r="G3" s="94"/>
      <c r="H3" s="94"/>
      <c r="I3" s="94"/>
      <c r="J3" s="94"/>
      <c r="K3" s="94"/>
      <c r="L3" s="94"/>
      <c r="M3" s="94"/>
      <c r="N3" s="94"/>
      <c r="O3" s="94"/>
      <c r="P3" s="94"/>
      <c r="Q3" s="94"/>
      <c r="R3" s="94"/>
      <c r="S3" s="94"/>
      <c r="T3" s="94"/>
      <c r="U3" s="94"/>
    </row>
    <row r="4" spans="1:21" ht="18">
      <c r="A4" s="51"/>
      <c r="B4" s="52"/>
      <c r="C4" s="52"/>
      <c r="D4" s="52"/>
      <c r="E4" s="52"/>
      <c r="F4" s="52"/>
      <c r="G4" s="52"/>
      <c r="H4" s="52"/>
      <c r="I4" s="52"/>
      <c r="J4" s="52"/>
      <c r="K4" s="52"/>
      <c r="L4" s="52"/>
    </row>
    <row r="5" spans="1:21" ht="28" outlineLevel="1">
      <c r="A5" s="63"/>
      <c r="B5" s="63"/>
      <c r="C5" s="59"/>
      <c r="D5" s="60"/>
      <c r="E5" s="62"/>
      <c r="F5" s="60"/>
      <c r="G5" s="60"/>
      <c r="H5" s="60"/>
      <c r="I5" s="62"/>
      <c r="J5" s="62"/>
      <c r="K5" s="59" t="s">
        <v>502</v>
      </c>
      <c r="L5" s="60"/>
      <c r="M5" s="62"/>
      <c r="N5" s="60"/>
      <c r="O5" s="60"/>
      <c r="P5" s="60"/>
      <c r="Q5" s="61"/>
      <c r="R5" s="61"/>
      <c r="S5" s="61"/>
      <c r="T5" s="61"/>
      <c r="U5" s="61"/>
    </row>
    <row r="6" spans="1:21">
      <c r="A6" s="52"/>
      <c r="B6" s="52"/>
      <c r="C6" s="52"/>
      <c r="D6" s="52"/>
      <c r="E6" s="52"/>
      <c r="F6" s="52"/>
      <c r="G6" s="52"/>
      <c r="H6" s="52"/>
      <c r="I6" s="52"/>
      <c r="J6" s="52"/>
      <c r="K6" s="52"/>
      <c r="L6" s="52"/>
    </row>
    <row r="8" spans="1:21" ht="20.5">
      <c r="A8" s="54" t="s">
        <v>503</v>
      </c>
      <c r="B8" s="55"/>
      <c r="C8" s="56">
        <f>SUM(tblTransactions[Total_Amount])</f>
        <v>229192.47000000032</v>
      </c>
    </row>
    <row r="9" spans="1:21">
      <c r="A9" s="55"/>
      <c r="B9" s="55"/>
      <c r="C9" s="55"/>
    </row>
    <row r="10" spans="1:21" ht="20.5">
      <c r="A10" s="54" t="s">
        <v>504</v>
      </c>
      <c r="B10" s="55"/>
      <c r="C10" s="57">
        <f>COUNTA(tblTransactions[Transaction_ID])</f>
        <v>250</v>
      </c>
      <c r="H10" s="64"/>
    </row>
    <row r="11" spans="1:21">
      <c r="A11" s="55"/>
      <c r="B11" s="55"/>
      <c r="C11" s="55"/>
    </row>
    <row r="12" spans="1:21" ht="20.5">
      <c r="A12" s="54" t="s">
        <v>505</v>
      </c>
      <c r="B12" s="55"/>
      <c r="C12" s="58">
        <f>COUNTA(_xlfn.UNIQUE(tblTransactions[Customer_ID]))</f>
        <v>50</v>
      </c>
    </row>
    <row r="13" spans="1:21">
      <c r="A13" s="55"/>
      <c r="B13" s="55"/>
      <c r="C13" s="55"/>
    </row>
    <row r="14" spans="1:21" ht="20.5">
      <c r="A14" s="54" t="s">
        <v>506</v>
      </c>
      <c r="B14" s="55"/>
      <c r="C14" s="58">
        <f>SUM(tblTransactions[Quantity])</f>
        <v>753</v>
      </c>
    </row>
    <row r="15" spans="1:21">
      <c r="A15" s="55"/>
      <c r="B15" s="55"/>
      <c r="C15" s="55"/>
    </row>
    <row r="16" spans="1:21" ht="20.5">
      <c r="A16" s="54" t="s">
        <v>507</v>
      </c>
      <c r="B16" s="55"/>
      <c r="C16" s="58">
        <f>AVERAGE(tblTransactions[Total_Amount])</f>
        <v>916.76988000000131</v>
      </c>
    </row>
    <row r="17" spans="1:3">
      <c r="A17" s="55"/>
      <c r="B17" s="55"/>
      <c r="C17" s="55"/>
    </row>
    <row r="18" spans="1:3" ht="20.5">
      <c r="A18" s="54" t="s">
        <v>508</v>
      </c>
      <c r="B18" s="55"/>
      <c r="C18" s="58" t="str">
        <f>INDEX('Product Frequency AnalysisProdu'!C1:C11,MATCH(MAX('Product Frequency AnalysisProdu'!E1:E11),'Product Frequency AnalysisProdu'!E1:E11,0))</f>
        <v>Bookshelf</v>
      </c>
    </row>
  </sheetData>
  <mergeCells count="1">
    <mergeCell ref="A1:U3"/>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1A7DA5-C2AC-4E20-9B01-37D22B7E66EA}">
  <dimension ref="A1:L118"/>
  <sheetViews>
    <sheetView zoomScale="78" workbookViewId="0">
      <selection activeCell="D19" sqref="D19"/>
    </sheetView>
  </sheetViews>
  <sheetFormatPr defaultRowHeight="14"/>
  <cols>
    <col min="1" max="1" width="86.453125" bestFit="1" customWidth="1"/>
    <col min="2" max="2" width="14.90625" customWidth="1"/>
    <col min="3" max="3" width="22.6328125" customWidth="1"/>
    <col min="4" max="4" width="18.81640625" customWidth="1"/>
    <col min="5" max="5" width="10.90625" customWidth="1"/>
  </cols>
  <sheetData>
    <row r="1" spans="1:12">
      <c r="A1" s="96" t="s">
        <v>509</v>
      </c>
      <c r="B1" s="96"/>
      <c r="C1" s="96"/>
      <c r="D1" s="96"/>
      <c r="E1" s="96"/>
      <c r="F1" s="96"/>
      <c r="G1" s="96"/>
      <c r="H1" s="96"/>
      <c r="I1" s="96"/>
      <c r="J1" s="96"/>
      <c r="K1" s="96"/>
      <c r="L1" s="96"/>
    </row>
    <row r="2" spans="1:12">
      <c r="A2" s="96"/>
      <c r="B2" s="96"/>
      <c r="C2" s="96"/>
      <c r="D2" s="96"/>
      <c r="E2" s="96"/>
      <c r="F2" s="96"/>
      <c r="G2" s="96"/>
      <c r="H2" s="96"/>
      <c r="I2" s="96"/>
      <c r="J2" s="96"/>
      <c r="K2" s="96"/>
      <c r="L2" s="96"/>
    </row>
    <row r="3" spans="1:12">
      <c r="A3" s="96"/>
      <c r="B3" s="96"/>
      <c r="C3" s="96"/>
      <c r="D3" s="96"/>
      <c r="E3" s="96"/>
      <c r="F3" s="96"/>
      <c r="G3" s="96"/>
      <c r="H3" s="96"/>
      <c r="I3" s="96"/>
      <c r="J3" s="96"/>
      <c r="K3" s="96"/>
      <c r="L3" s="96"/>
    </row>
    <row r="5" spans="1:12" ht="22.5">
      <c r="A5" s="97" t="s">
        <v>510</v>
      </c>
      <c r="B5" s="97"/>
      <c r="C5" s="97"/>
      <c r="D5" s="97"/>
      <c r="E5" s="97"/>
      <c r="F5" s="97"/>
      <c r="G5" s="97"/>
      <c r="H5" s="97"/>
      <c r="I5" s="97"/>
      <c r="J5" s="97"/>
      <c r="K5" s="97"/>
      <c r="L5" s="97"/>
    </row>
    <row r="7" spans="1:12" ht="15">
      <c r="A7" s="84" t="s">
        <v>512</v>
      </c>
      <c r="B7" s="67">
        <f ca="1">TODAY()</f>
        <v>46324</v>
      </c>
      <c r="C7" s="53"/>
      <c r="D7" s="53"/>
      <c r="E7" s="53"/>
      <c r="F7" s="53"/>
      <c r="G7" s="53"/>
      <c r="H7" s="53"/>
      <c r="I7" s="53"/>
      <c r="J7" s="53"/>
      <c r="K7" s="53"/>
      <c r="L7" s="53"/>
    </row>
    <row r="10" spans="1:12" ht="15">
      <c r="A10" s="84" t="s">
        <v>511</v>
      </c>
    </row>
    <row r="12" spans="1:12">
      <c r="A12" s="95" t="s">
        <v>513</v>
      </c>
      <c r="B12" s="95"/>
      <c r="C12" s="95"/>
      <c r="D12" s="95"/>
      <c r="E12" s="95"/>
      <c r="F12" s="95"/>
      <c r="G12" s="95"/>
      <c r="H12" s="95"/>
      <c r="I12" s="95"/>
      <c r="J12" s="95"/>
      <c r="K12" s="95"/>
      <c r="L12" s="95"/>
    </row>
    <row r="13" spans="1:12">
      <c r="A13" s="95"/>
      <c r="B13" s="95"/>
      <c r="C13" s="95"/>
      <c r="D13" s="95"/>
      <c r="E13" s="95"/>
      <c r="F13" s="95"/>
      <c r="G13" s="95"/>
      <c r="H13" s="95"/>
      <c r="I13" s="95"/>
      <c r="J13" s="95"/>
      <c r="K13" s="95"/>
      <c r="L13" s="95"/>
    </row>
    <row r="14" spans="1:12">
      <c r="A14" s="95"/>
      <c r="B14" s="95"/>
      <c r="C14" s="95"/>
      <c r="D14" s="95"/>
      <c r="E14" s="95"/>
      <c r="F14" s="95"/>
      <c r="G14" s="95"/>
      <c r="H14" s="95"/>
      <c r="I14" s="95"/>
      <c r="J14" s="95"/>
      <c r="K14" s="95"/>
      <c r="L14" s="95"/>
    </row>
    <row r="15" spans="1:12">
      <c r="A15" s="95"/>
      <c r="B15" s="95"/>
      <c r="C15" s="95"/>
      <c r="D15" s="95"/>
      <c r="E15" s="95"/>
      <c r="F15" s="95"/>
      <c r="G15" s="95"/>
      <c r="H15" s="95"/>
      <c r="I15" s="95"/>
      <c r="J15" s="95"/>
      <c r="K15" s="95"/>
      <c r="L15" s="95"/>
    </row>
    <row r="17" spans="1:2" ht="15">
      <c r="A17" s="84" t="s">
        <v>514</v>
      </c>
    </row>
    <row r="19" spans="1:2">
      <c r="A19" s="29"/>
    </row>
    <row r="20" spans="1:2" ht="15">
      <c r="A20" s="65" t="s">
        <v>503</v>
      </c>
      <c r="B20" s="70">
        <f>SUM(tblTransactions[Total_Amount])</f>
        <v>229192.47000000032</v>
      </c>
    </row>
    <row r="21" spans="1:2" ht="15">
      <c r="A21" s="65" t="s">
        <v>504</v>
      </c>
      <c r="B21" s="70">
        <f>COUNTA(tblTransactions[Transaction_ID])</f>
        <v>250</v>
      </c>
    </row>
    <row r="22" spans="1:2" ht="15">
      <c r="A22" s="65" t="s">
        <v>506</v>
      </c>
      <c r="B22" s="71">
        <f>SUM(tblTransactions[Quantity])</f>
        <v>753</v>
      </c>
    </row>
    <row r="23" spans="1:2" ht="15">
      <c r="A23" s="65" t="s">
        <v>505</v>
      </c>
      <c r="B23" s="71">
        <f>COUNTA(_xlfn.UNIQUE(tblTransactions[Customer_ID]))</f>
        <v>50</v>
      </c>
    </row>
    <row r="24" spans="1:2" ht="15">
      <c r="A24" s="65" t="s">
        <v>515</v>
      </c>
      <c r="B24" s="71">
        <f>COUNTA(_xlfn.UNIQUE(tblTransactions[Product_Name]))</f>
        <v>10</v>
      </c>
    </row>
    <row r="25" spans="1:2" ht="15">
      <c r="A25" s="65" t="s">
        <v>507</v>
      </c>
      <c r="B25" s="71">
        <f>AVERAGE(tblTransactions[Total_Amount])</f>
        <v>916.76988000000131</v>
      </c>
    </row>
    <row r="28" spans="1:2" ht="15">
      <c r="A28" s="85" t="s">
        <v>516</v>
      </c>
    </row>
    <row r="30" spans="1:2">
      <c r="A30" s="29"/>
      <c r="B30" s="29"/>
    </row>
    <row r="31" spans="1:2" ht="15">
      <c r="A31" s="66" t="s">
        <v>508</v>
      </c>
      <c r="B31" s="71" t="str">
        <f>INDEX('Product Frequency AnalysisProdu'!C1:C11,MATCH(MAX('Product Frequency AnalysisProdu'!E1:E11),'Product Frequency AnalysisProdu'!E1:E11,0))</f>
        <v>Bookshelf</v>
      </c>
    </row>
    <row r="32" spans="1:2" ht="15">
      <c r="A32" s="66" t="s">
        <v>517</v>
      </c>
      <c r="B32" s="71" t="str">
        <f>INDEX('Product Frequency AnalysisProdu'!C1:C11,MATCH(MAX('Product Frequency AnalysisProdu'!F1:F11),'Product Frequency AnalysisProdu'!F1:F11,0))</f>
        <v>Laptop</v>
      </c>
    </row>
    <row r="33" spans="1:3" ht="15">
      <c r="A33" s="66" t="s">
        <v>506</v>
      </c>
      <c r="B33" s="71">
        <f>SUM(tblTransactions[Quantity])</f>
        <v>753</v>
      </c>
    </row>
    <row r="34" spans="1:3" ht="15">
      <c r="A34" s="66" t="s">
        <v>518</v>
      </c>
      <c r="B34" s="71">
        <f>SUM(tblTransactions[Total_Amount])</f>
        <v>229192.47000000032</v>
      </c>
    </row>
    <row r="37" spans="1:3" ht="15">
      <c r="A37" s="84" t="s">
        <v>519</v>
      </c>
    </row>
    <row r="40" spans="1:3" ht="15">
      <c r="A40" s="66" t="s">
        <v>520</v>
      </c>
      <c r="B40" s="71" t="str">
        <f>INDEX('Product Frequency AnalysisProdu'!A1:A51,MATCH(MAX('Product Frequency AnalysisProdu'!B1:B51),'Product Frequency AnalysisProdu'!B1:B51,0))</f>
        <v>Mark Carter</v>
      </c>
    </row>
    <row r="41" spans="1:3" ht="15">
      <c r="A41" s="66" t="s">
        <v>521</v>
      </c>
      <c r="B41" s="71" t="str">
        <f>INDEX('CUSTOMER ANALYSIS'!B2:B51,MATCH(MAX('CUSTOMER ANALYSIS'!C1:C51),'CUSTOMER ANALYSIS'!C1:C51,0))</f>
        <v>Karen Hill</v>
      </c>
    </row>
    <row r="42" spans="1:3" ht="15">
      <c r="A42" s="66" t="s">
        <v>522</v>
      </c>
      <c r="B42" s="71">
        <f>MAX('Product Frequency AnalysisProdu'!B1:B51)</f>
        <v>12</v>
      </c>
    </row>
    <row r="43" spans="1:3" ht="15">
      <c r="A43" s="66" t="s">
        <v>523</v>
      </c>
      <c r="B43" s="71">
        <f>MAX('CUSTOMER ANALYSIS'!C1:C51)</f>
        <v>15659.65</v>
      </c>
    </row>
    <row r="44" spans="1:3">
      <c r="A44" s="4"/>
    </row>
    <row r="46" spans="1:3" ht="15">
      <c r="A46" s="84" t="s">
        <v>524</v>
      </c>
    </row>
    <row r="48" spans="1:3" ht="15">
      <c r="A48" s="68" t="s">
        <v>10</v>
      </c>
      <c r="B48" s="68" t="s">
        <v>503</v>
      </c>
      <c r="C48" s="68" t="s">
        <v>525</v>
      </c>
    </row>
    <row r="49" spans="1:3">
      <c r="A49" s="87" t="str" cm="1">
        <f t="array" ref="A49:A53">_xlfn._xlws.SORT(_xlfn.UNIQUE(tblTransactions[Region]))</f>
        <v>Central</v>
      </c>
      <c r="B49" s="69">
        <f>SUMIF(tblTransactions[Region],A49,tblTransactions[Total_Amount])</f>
        <v>41288.340000000018</v>
      </c>
      <c r="C49" s="69">
        <f>COUNTIF(tblTransactions[Region],A49)</f>
        <v>54</v>
      </c>
    </row>
    <row r="50" spans="1:3">
      <c r="A50" s="88" t="str">
        <v>East</v>
      </c>
      <c r="B50" s="69">
        <f>SUMIF(tblTransactions[Region],A50,tblTransactions[Total_Amount])</f>
        <v>59288.389999999992</v>
      </c>
      <c r="C50" s="69">
        <f>COUNTIF(tblTransactions[Region],A50)</f>
        <v>48</v>
      </c>
    </row>
    <row r="51" spans="1:3">
      <c r="A51" s="88" t="str">
        <v>North</v>
      </c>
      <c r="B51" s="69">
        <f>SUMIF(tblTransactions[Region],A51,tblTransactions[Total_Amount])</f>
        <v>50808.310000000012</v>
      </c>
      <c r="C51" s="69">
        <f>COUNTIF(tblTransactions[Region],A51)</f>
        <v>59</v>
      </c>
    </row>
    <row r="52" spans="1:3">
      <c r="A52" s="88" t="str">
        <v>South</v>
      </c>
      <c r="B52" s="69">
        <f>SUMIF(tblTransactions[Region],A52,tblTransactions[Total_Amount])</f>
        <v>36398.750000000007</v>
      </c>
      <c r="C52" s="69">
        <f>COUNTIF(tblTransactions[Region],A52)</f>
        <v>42</v>
      </c>
    </row>
    <row r="53" spans="1:3">
      <c r="A53" s="88" t="str">
        <v>West</v>
      </c>
      <c r="B53" s="69">
        <f>SUMIF(tblTransactions[Region],A53,tblTransactions[Total_Amount])</f>
        <v>41408.680000000015</v>
      </c>
      <c r="C53" s="69">
        <f>COUNTIF(tblTransactions[Region],A53)</f>
        <v>47</v>
      </c>
    </row>
    <row r="56" spans="1:3" ht="15">
      <c r="A56" s="84" t="s">
        <v>526</v>
      </c>
    </row>
    <row r="59" spans="1:3" ht="15.5">
      <c r="A59" s="72" t="s">
        <v>529</v>
      </c>
    </row>
    <row r="60" spans="1:3" ht="15.5">
      <c r="A60" s="72" t="s">
        <v>530</v>
      </c>
    </row>
    <row r="61" spans="1:3" ht="31">
      <c r="A61" s="72" t="s">
        <v>531</v>
      </c>
    </row>
    <row r="62" spans="1:3" ht="15.5">
      <c r="A62" s="72" t="s">
        <v>532</v>
      </c>
    </row>
    <row r="63" spans="1:3" ht="15.5">
      <c r="A63" s="72" t="s">
        <v>533</v>
      </c>
    </row>
    <row r="66" spans="1:1" ht="15">
      <c r="A66" s="84" t="s">
        <v>527</v>
      </c>
    </row>
    <row r="69" spans="1:1" ht="15.5">
      <c r="A69" s="73" t="s">
        <v>534</v>
      </c>
    </row>
    <row r="70" spans="1:1" ht="15.5">
      <c r="A70" s="73" t="s">
        <v>535</v>
      </c>
    </row>
    <row r="71" spans="1:1" ht="15.5">
      <c r="A71" s="73" t="s">
        <v>537</v>
      </c>
    </row>
    <row r="72" spans="1:1" ht="15.5">
      <c r="A72" s="73" t="s">
        <v>536</v>
      </c>
    </row>
    <row r="73" spans="1:1" ht="15.5">
      <c r="A73" s="72" t="s">
        <v>538</v>
      </c>
    </row>
    <row r="76" spans="1:1" ht="15">
      <c r="A76" s="84" t="s">
        <v>542</v>
      </c>
    </row>
    <row r="79" spans="1:1" ht="62">
      <c r="A79" s="79" t="s">
        <v>540</v>
      </c>
    </row>
    <row r="82" spans="1:2" ht="15">
      <c r="A82" s="84" t="s">
        <v>541</v>
      </c>
    </row>
    <row r="85" spans="1:2" ht="62">
      <c r="A85" s="74" t="s">
        <v>528</v>
      </c>
    </row>
    <row r="88" spans="1:2" ht="15">
      <c r="A88" s="84" t="s">
        <v>543</v>
      </c>
    </row>
    <row r="91" spans="1:2" ht="15">
      <c r="A91" s="86" t="s">
        <v>544</v>
      </c>
      <c r="B91" s="29"/>
    </row>
    <row r="92" spans="1:2" ht="15">
      <c r="A92" s="80"/>
      <c r="B92" s="29"/>
    </row>
    <row r="93" spans="1:2" ht="46.5">
      <c r="A93" s="81" t="s">
        <v>549</v>
      </c>
      <c r="B93" s="29"/>
    </row>
    <row r="94" spans="1:2" ht="15.5">
      <c r="A94" s="82"/>
      <c r="B94" s="29"/>
    </row>
    <row r="95" spans="1:2" ht="15">
      <c r="A95" s="86" t="s">
        <v>545</v>
      </c>
    </row>
    <row r="96" spans="1:2" ht="15">
      <c r="A96" s="80"/>
    </row>
    <row r="97" spans="1:1" ht="46.5">
      <c r="A97" s="79" t="s">
        <v>550</v>
      </c>
    </row>
    <row r="98" spans="1:1" ht="15">
      <c r="A98" s="80"/>
    </row>
    <row r="99" spans="1:1" ht="15">
      <c r="A99" s="86" t="s">
        <v>546</v>
      </c>
    </row>
    <row r="100" spans="1:1" ht="15">
      <c r="A100" s="80"/>
    </row>
    <row r="101" spans="1:1" ht="46.5">
      <c r="A101" s="79" t="s">
        <v>551</v>
      </c>
    </row>
    <row r="102" spans="1:1" ht="15">
      <c r="A102" s="80"/>
    </row>
    <row r="103" spans="1:1" ht="15">
      <c r="A103" s="86" t="s">
        <v>547</v>
      </c>
    </row>
    <row r="104" spans="1:1" ht="15">
      <c r="A104" s="80"/>
    </row>
    <row r="105" spans="1:1" ht="46.5">
      <c r="A105" s="79" t="s">
        <v>552</v>
      </c>
    </row>
    <row r="106" spans="1:1" ht="15">
      <c r="A106" s="80"/>
    </row>
    <row r="107" spans="1:1" ht="15">
      <c r="A107" s="80"/>
    </row>
    <row r="108" spans="1:1" ht="15">
      <c r="A108" s="86" t="s">
        <v>548</v>
      </c>
    </row>
    <row r="110" spans="1:1" ht="15.5">
      <c r="A110" s="83" t="s">
        <v>553</v>
      </c>
    </row>
    <row r="111" spans="1:1" ht="15.5">
      <c r="A111" s="83"/>
    </row>
    <row r="112" spans="1:1" ht="15.5">
      <c r="A112" s="83" t="s">
        <v>554</v>
      </c>
    </row>
    <row r="113" spans="1:1" ht="15.5">
      <c r="A113" s="83"/>
    </row>
    <row r="114" spans="1:1" ht="15.5">
      <c r="A114" s="83" t="s">
        <v>555</v>
      </c>
    </row>
    <row r="115" spans="1:1" ht="15.5">
      <c r="A115" s="83"/>
    </row>
    <row r="116" spans="1:1" ht="15.5">
      <c r="A116" s="83" t="s">
        <v>556</v>
      </c>
    </row>
    <row r="117" spans="1:1" ht="15.5">
      <c r="A117" s="83"/>
    </row>
    <row r="118" spans="1:1" ht="15.5">
      <c r="A118" s="83" t="s">
        <v>557</v>
      </c>
    </row>
  </sheetData>
  <mergeCells count="3">
    <mergeCell ref="A12:L15"/>
    <mergeCell ref="A1:L3"/>
    <mergeCell ref="A5:L5"/>
  </mergeCells>
  <pageMargins left="0.70866141732283472" right="0.70866141732283472" top="0.74803149606299213" bottom="0.74803149606299213" header="0.31496062992125984" footer="0.31496062992125984"/>
  <pageSetup scale="80" fitToWidth="0" fitToHeight="0"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Raw Data</vt:lpstr>
      <vt:lpstr>Analysis</vt:lpstr>
      <vt:lpstr>CUSTOMER ANALYSIS</vt:lpstr>
      <vt:lpstr>Product Frequency AnalysisProdu</vt:lpstr>
      <vt:lpstr>Visualizations</vt:lpstr>
      <vt:lpstr>Regression</vt:lpstr>
      <vt:lpstr>List Comparison &amp; Abbreviations</vt:lpstr>
      <vt:lpstr>Scenario Summary </vt:lpstr>
      <vt:lpstr>Dashboard</vt:lpstr>
      <vt:lpstr>Final Report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vishakha maisuriya</dc:creator>
  <cp:lastModifiedBy>Raj Pranami</cp:lastModifiedBy>
  <cp:lastPrinted>2026-10-29T06:44:54Z</cp:lastPrinted>
  <dcterms:created xsi:type="dcterms:W3CDTF">2026-10-28T10:13:48Z</dcterms:created>
  <dcterms:modified xsi:type="dcterms:W3CDTF">2026-10-29T07:48:47Z</dcterms:modified>
</cp:coreProperties>
</file>